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5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Weslley Curso\conecta -  TCC\"/>
    </mc:Choice>
  </mc:AlternateContent>
  <xr:revisionPtr revIDLastSave="0" documentId="8_{BDC347A0-AD71-459A-8963-A182C701A42D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apa" sheetId="3" r:id="rId1"/>
    <sheet name="sumario" sheetId="2" r:id="rId2"/>
    <sheet name="projeto" sheetId="8" r:id="rId3"/>
    <sheet name="calendario" sheetId="10" r:id="rId4"/>
    <sheet name="social" sheetId="9" r:id="rId5"/>
    <sheet name="TABELA-CALENDÁRIO" sheetId="11" r:id="rId6"/>
    <sheet name="PLANILHA GERAL" sheetId="12" r:id="rId7"/>
    <sheet name="TABELA-SOCIAL" sheetId="14" r:id="rId8"/>
  </sheets>
  <definedNames>
    <definedName name="DadosExternos_1" localSheetId="3" hidden="1">calendario!$G$20:$I$21</definedName>
    <definedName name="Dia">dias[[#All],[Dia]]</definedName>
    <definedName name="SegmentaçãodeDados_MÊS">#N/A</definedName>
  </definedNames>
  <calcPr calcId="181029"/>
  <pivotCaches>
    <pivotCache cacheId="10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9" i="10" l="1"/>
  <c r="S11" i="10" s="1"/>
  <c r="S10" i="10" l="1"/>
  <c r="J6" i="10"/>
  <c r="K6" i="10" s="1"/>
  <c r="L6" i="10" s="1"/>
  <c r="M6" i="10" s="1"/>
  <c r="N6" i="10" s="1"/>
  <c r="O6" i="10" s="1"/>
  <c r="P6" i="10" s="1"/>
  <c r="J7" i="10" l="1"/>
  <c r="K7" i="10" s="1"/>
  <c r="L7" i="10" s="1"/>
  <c r="M7" i="10" s="1"/>
  <c r="N7" i="10" s="1"/>
  <c r="O7" i="10" s="1"/>
  <c r="P7" i="10" s="1"/>
  <c r="J8" i="10" s="1"/>
  <c r="K8" i="10" s="1"/>
  <c r="L8" i="10" s="1"/>
  <c r="M8" i="10" s="1"/>
  <c r="N8" i="10" s="1"/>
  <c r="O8" i="10" l="1"/>
  <c r="P8" i="10" s="1"/>
  <c r="J9" i="10" s="1"/>
  <c r="K9" i="10" s="1"/>
  <c r="L9" i="10" s="1"/>
  <c r="M9" i="10" s="1"/>
  <c r="N9" i="10" l="1"/>
  <c r="O9" i="10" s="1"/>
  <c r="P9" i="10" s="1"/>
  <c r="J10" i="10" s="1"/>
  <c r="K10" i="10" s="1"/>
  <c r="L10" i="10" s="1"/>
  <c r="M10" i="10" s="1"/>
  <c r="N10" i="10" s="1"/>
  <c r="O10" i="10" s="1"/>
  <c r="P10" i="10" s="1"/>
  <c r="J11" i="10" s="1"/>
  <c r="K11" i="10" s="1"/>
  <c r="L11" i="10" s="1"/>
  <c r="M11" i="10" s="1"/>
  <c r="N11" i="10" s="1"/>
  <c r="O11" i="10" s="1"/>
  <c r="P1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D8753-C870-4EB9-A31F-5C763EBE9A20}" keepAlive="1" name="Consulta - Agenda" description="Conexão com a consulta 'Agenda' na pasta de trabalho." type="5" refreshedVersion="0" background="1">
    <dbPr connection="Provider=Microsoft.Mashup.OleDb.1;Data Source=$Workbook$;Location=Agenda;Extended Properties=&quot;&quot;" command="SELECT * FROM [Agenda]"/>
  </connection>
  <connection id="2" xr16:uid="{2397BEDE-84DD-4B48-9B54-EB0A6433BC8C}" keepAlive="1" name="Consulta - dias" description="Conexão com a consulta 'dias' na pasta de trabalho." type="5" refreshedVersion="0" background="1">
    <dbPr connection="Provider=Microsoft.Mashup.OleDb.1;Data Source=$Workbook$;Location=dias;Extended Properties=&quot;&quot;" command="SELECT * FROM [dias]"/>
  </connection>
  <connection id="3" xr16:uid="{6201A8F7-0B92-4911-8E6C-4797F1A56A4B}" keepAlive="1" name="Consulta - OK" description="Conexão com a consulta 'OK' na pasta de trabalho." type="5" refreshedVersion="6" background="1" saveData="1">
    <dbPr connection="Provider=Microsoft.Mashup.OleDb.1;Data Source=$Workbook$;Location=OK;Extended Properties=&quot;&quot;" command="SELECT * FROM [OK]"/>
  </connection>
</connections>
</file>

<file path=xl/sharedStrings.xml><?xml version="1.0" encoding="utf-8"?>
<sst xmlns="http://schemas.openxmlformats.org/spreadsheetml/2006/main" count="96" uniqueCount="61">
  <si>
    <t>D</t>
  </si>
  <si>
    <t>S</t>
  </si>
  <si>
    <t>T</t>
  </si>
  <si>
    <t>Q</t>
  </si>
  <si>
    <t>Inicio</t>
  </si>
  <si>
    <t>Fim</t>
  </si>
  <si>
    <t>ANO</t>
  </si>
  <si>
    <t>MÊS</t>
  </si>
  <si>
    <t>Data</t>
  </si>
  <si>
    <t xml:space="preserve">Horario </t>
  </si>
  <si>
    <t>Anotação</t>
  </si>
  <si>
    <t>Dia</t>
  </si>
  <si>
    <t xml:space="preserve">Agenda.Horario </t>
  </si>
  <si>
    <t>Agenda.Anotação</t>
  </si>
  <si>
    <t>Primeiro Campeonato de Futebol</t>
  </si>
  <si>
    <t>Zumba e Ritmos</t>
  </si>
  <si>
    <t>Distribuição de marmitas</t>
  </si>
  <si>
    <t>Reforço Escolar</t>
  </si>
  <si>
    <t>Aniversário do líder Naninho</t>
  </si>
  <si>
    <t>Dia da árvore</t>
  </si>
  <si>
    <t>Rifa em prol a festa das crianças</t>
  </si>
  <si>
    <t>Primeira festa do dia das crianças</t>
  </si>
  <si>
    <t>Apadrinhamento das crianças</t>
  </si>
  <si>
    <t>Dinâmica sobre empoderamento</t>
  </si>
  <si>
    <t>CineFavela</t>
  </si>
  <si>
    <t>Medtronic presenteou de chuteira e bola</t>
  </si>
  <si>
    <t>Projeto de capoeira</t>
  </si>
  <si>
    <t>Projeto cestas básicas</t>
  </si>
  <si>
    <t>Passeio para o Sítio São Jorge</t>
  </si>
  <si>
    <t>Primeira evento de Páscoa</t>
  </si>
  <si>
    <t>Projeto Mexa-se</t>
  </si>
  <si>
    <t>Início das aula de voleibol para adultos</t>
  </si>
  <si>
    <t>Festa Julina</t>
  </si>
  <si>
    <t>JANEIRO</t>
  </si>
  <si>
    <t>SEGUIDORES</t>
  </si>
  <si>
    <t>STORY VISUALIZADOS</t>
  </si>
  <si>
    <t>CURTIDAS</t>
  </si>
  <si>
    <t>PUBLICAÇÕES VISUALIZADAS</t>
  </si>
  <si>
    <t>FEVEREIRO</t>
  </si>
  <si>
    <t>MARÇO</t>
  </si>
  <si>
    <t>ABRIL</t>
  </si>
  <si>
    <t>MAIO</t>
  </si>
  <si>
    <t>REDES SOCIAIS</t>
  </si>
  <si>
    <t>PROJETOS</t>
  </si>
  <si>
    <t>AULAS</t>
  </si>
  <si>
    <t>Rótulos de Linha</t>
  </si>
  <si>
    <t>Total Geral</t>
  </si>
  <si>
    <t>Soma de SEGUIDORES</t>
  </si>
  <si>
    <t>Soma de STORY VISUALIZADOS</t>
  </si>
  <si>
    <t>Soma de CURTIDAS</t>
  </si>
  <si>
    <t>Soma de PUBLICAÇÕES VISUALIZADAS</t>
  </si>
  <si>
    <t>Futebol</t>
  </si>
  <si>
    <t>Capoeira</t>
  </si>
  <si>
    <t>Reforço</t>
  </si>
  <si>
    <t>Alunos</t>
  </si>
  <si>
    <t>Faixa etaria</t>
  </si>
  <si>
    <t>Meninos</t>
  </si>
  <si>
    <t>Meninas</t>
  </si>
  <si>
    <t>03 até 19 anos</t>
  </si>
  <si>
    <t>09 até 30 anos</t>
  </si>
  <si>
    <t>06 até os 14 anos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</si>
</sst>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8"/>
      <color theme="0"/>
      <name val="Malgun Gothic"/>
      <family val="2"/>
    </font>
    <font>
      <b/>
      <sz val="14"/>
      <color theme="1"/>
      <name val="Arial Black"/>
      <family val="2"/>
    </font>
    <font>
      <sz val="14"/>
      <color theme="1"/>
      <name val="Berlin Sans FB"/>
      <family val="2"/>
    </font>
    <font>
      <sz val="11"/>
      <color theme="1"/>
      <name val="Arial Black"/>
      <family val="2"/>
    </font>
    <font>
      <sz val="11"/>
      <color theme="1" tint="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396A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164" fontId="3" fillId="3" borderId="1" xfId="0" applyNumberFormat="1" applyFont="1" applyFill="1" applyBorder="1" applyAlignment="1">
      <alignment horizontal="center" vertical="center"/>
    </xf>
    <xf numFmtId="14" fontId="0" fillId="3" borderId="0" xfId="0" applyNumberFormat="1" applyFill="1"/>
    <xf numFmtId="0" fontId="4" fillId="3" borderId="0" xfId="0" applyFont="1" applyFill="1"/>
    <xf numFmtId="0" fontId="2" fillId="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0" fillId="0" borderId="0" xfId="0" applyNumberFormat="1"/>
    <xf numFmtId="20" fontId="0" fillId="0" borderId="0" xfId="0" applyNumberFormat="1"/>
    <xf numFmtId="0" fontId="5" fillId="3" borderId="0" xfId="0" applyFont="1" applyFill="1"/>
    <xf numFmtId="14" fontId="5" fillId="3" borderId="0" xfId="0" applyNumberFormat="1" applyFont="1" applyFill="1"/>
    <xf numFmtId="164" fontId="3" fillId="0" borderId="1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2" borderId="0" xfId="0" applyNumberFormat="1" applyFill="1"/>
    <xf numFmtId="14" fontId="6" fillId="2" borderId="0" xfId="0" applyNumberFormat="1" applyFont="1" applyFill="1"/>
    <xf numFmtId="165" fontId="6" fillId="2" borderId="0" xfId="0" applyNumberFormat="1" applyFont="1" applyFill="1"/>
    <xf numFmtId="0" fontId="6" fillId="2" borderId="0" xfId="0" applyNumberFormat="1" applyFont="1" applyFill="1"/>
    <xf numFmtId="17" fontId="0" fillId="0" borderId="0" xfId="0" applyNumberFormat="1"/>
    <xf numFmtId="1" fontId="0" fillId="0" borderId="0" xfId="0" applyNumberFormat="1"/>
    <xf numFmtId="0" fontId="6" fillId="2" borderId="0" xfId="0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8"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396A6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396A6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[$-F400]h:mm:ss\ AM/PM"/>
      <fill>
        <patternFill patternType="solid">
          <fgColor indexed="64"/>
          <bgColor rgb="FF0396A6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indexed="64"/>
          <bgColor rgb="FF0396A6"/>
        </patternFill>
      </fill>
    </dxf>
    <dxf>
      <fill>
        <patternFill patternType="solid">
          <fgColor indexed="64"/>
          <bgColor rgb="FF0396A6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0396A6"/>
      <color rgb="FFF2BC1B"/>
      <color rgb="FFF23030"/>
      <color rgb="FFF25C05"/>
      <color rgb="FF0496A6"/>
      <color rgb="FF1DBF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[excelfinal.xlsm]TABELA-SOCIAL!Tabela dinâmica10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Seguidores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'TABELA-SOCIAL'!$A$4:$A$9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'TABELA-SOCIAL'!$B$4:$B$9</c:f>
              <c:numCache>
                <c:formatCode>General</c:formatCode>
                <c:ptCount val="5"/>
                <c:pt idx="0">
                  <c:v>47</c:v>
                </c:pt>
                <c:pt idx="1">
                  <c:v>51</c:v>
                </c:pt>
                <c:pt idx="2">
                  <c:v>36</c:v>
                </c:pt>
                <c:pt idx="3">
                  <c:v>49</c:v>
                </c:pt>
                <c:pt idx="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9-4DAA-9898-9DB02D321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555632"/>
        <c:axId val="2015399776"/>
      </c:barChart>
      <c:catAx>
        <c:axId val="11955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5399776"/>
        <c:crosses val="autoZero"/>
        <c:auto val="1"/>
        <c:lblAlgn val="ctr"/>
        <c:lblOffset val="100"/>
        <c:noMultiLvlLbl val="0"/>
      </c:catAx>
      <c:valAx>
        <c:axId val="201539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[excelfinal.xlsm]TABELA-SOCIAL!Tabela dinâmica11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'TABELA-SOCIAL'!$E$3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AE5-42CB-B47B-555E30BFCC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AE5-42CB-B47B-555E30BFCCA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AE5-42CB-B47B-555E30BFCCA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AE5-42CB-B47B-555E30BFCCA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AE5-42CB-B47B-555E30BFCCA2}"/>
              </c:ext>
            </c:extLst>
          </c:dPt>
          <c:cat>
            <c:strRef>
              <c:f>'TABELA-SOCIAL'!$D$4:$D$9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'TABELA-SOCIAL'!$E$4:$E$9</c:f>
              <c:numCache>
                <c:formatCode>General</c:formatCode>
                <c:ptCount val="5"/>
                <c:pt idx="0">
                  <c:v>3069</c:v>
                </c:pt>
                <c:pt idx="1">
                  <c:v>3041</c:v>
                </c:pt>
                <c:pt idx="2">
                  <c:v>3080</c:v>
                </c:pt>
                <c:pt idx="3">
                  <c:v>3061</c:v>
                </c:pt>
                <c:pt idx="4">
                  <c:v>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E5-42CB-B47B-555E30BFC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[excelfinal.xlsm]TABELA-SOCIAL!Tabela dinâmica12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Curtidas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'TABELA-SOCIAL'!$H$3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'TABELA-SOCIAL'!$G$4:$G$9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'TABELA-SOCIAL'!$H$4:$H$9</c:f>
              <c:numCache>
                <c:formatCode>General</c:formatCode>
                <c:ptCount val="5"/>
                <c:pt idx="0">
                  <c:v>143</c:v>
                </c:pt>
                <c:pt idx="1">
                  <c:v>129</c:v>
                </c:pt>
                <c:pt idx="2">
                  <c:v>120</c:v>
                </c:pt>
                <c:pt idx="3">
                  <c:v>112</c:v>
                </c:pt>
                <c:pt idx="4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B-45F8-9E79-5A500705C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4671056"/>
        <c:axId val="481863424"/>
      </c:barChart>
      <c:catAx>
        <c:axId val="192467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863424"/>
        <c:crosses val="autoZero"/>
        <c:auto val="1"/>
        <c:lblAlgn val="ctr"/>
        <c:lblOffset val="100"/>
        <c:noMultiLvlLbl val="0"/>
      </c:catAx>
      <c:valAx>
        <c:axId val="48186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67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[excelfinal.xlsm]TABELA-SOCIAL!Tabela dinâmica13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Publicações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71-4FAA-A472-3A1F092C5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[excelfinal.xlsm]TABELA-SOCIAL!Tabela dinâmica13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Publicações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E-4ACE-A9B6-5D46D4A7D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[excelfinal.xlsm]TABELA-SOCIAL!Tabela dinâmica10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Seguidores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'TABELA-SOCIAL'!$A$4:$A$9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'TABELA-SOCIAL'!$B$4:$B$9</c:f>
              <c:numCache>
                <c:formatCode>General</c:formatCode>
                <c:ptCount val="5"/>
                <c:pt idx="0">
                  <c:v>47</c:v>
                </c:pt>
                <c:pt idx="1">
                  <c:v>51</c:v>
                </c:pt>
                <c:pt idx="2">
                  <c:v>36</c:v>
                </c:pt>
                <c:pt idx="3">
                  <c:v>49</c:v>
                </c:pt>
                <c:pt idx="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D5-45E2-B08E-D45FE06C1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555632"/>
        <c:axId val="2015399776"/>
      </c:barChart>
      <c:catAx>
        <c:axId val="11955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5399776"/>
        <c:crosses val="autoZero"/>
        <c:auto val="1"/>
        <c:lblAlgn val="ctr"/>
        <c:lblOffset val="100"/>
        <c:noMultiLvlLbl val="0"/>
      </c:catAx>
      <c:valAx>
        <c:axId val="201539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[excelfinal.xlsm]TABELA-SOCIAL!Tabela dinâmica11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'TABELA-SOCIAL'!$E$3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cat>
            <c:strRef>
              <c:f>'TABELA-SOCIAL'!$D$4:$D$9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'TABELA-SOCIAL'!$E$4:$E$9</c:f>
              <c:numCache>
                <c:formatCode>General</c:formatCode>
                <c:ptCount val="5"/>
                <c:pt idx="0">
                  <c:v>3069</c:v>
                </c:pt>
                <c:pt idx="1">
                  <c:v>3041</c:v>
                </c:pt>
                <c:pt idx="2">
                  <c:v>3080</c:v>
                </c:pt>
                <c:pt idx="3">
                  <c:v>3061</c:v>
                </c:pt>
                <c:pt idx="4">
                  <c:v>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5-40EB-B600-2281EC3EB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[excelfinal.xlsm]TABELA-SOCIAL!Tabela dinâmica12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Curtidas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'TABELA-SOCIAL'!$H$3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'TABELA-SOCIAL'!$G$4:$G$9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'TABELA-SOCIAL'!$H$4:$H$9</c:f>
              <c:numCache>
                <c:formatCode>General</c:formatCode>
                <c:ptCount val="5"/>
                <c:pt idx="0">
                  <c:v>143</c:v>
                </c:pt>
                <c:pt idx="1">
                  <c:v>129</c:v>
                </c:pt>
                <c:pt idx="2">
                  <c:v>120</c:v>
                </c:pt>
                <c:pt idx="3">
                  <c:v>112</c:v>
                </c:pt>
                <c:pt idx="4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5-4EAF-B1F6-7B92721A9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4671056"/>
        <c:axId val="481863424"/>
      </c:barChart>
      <c:catAx>
        <c:axId val="192467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863424"/>
        <c:crosses val="autoZero"/>
        <c:auto val="1"/>
        <c:lblAlgn val="ctr"/>
        <c:lblOffset val="100"/>
        <c:noMultiLvlLbl val="0"/>
      </c:catAx>
      <c:valAx>
        <c:axId val="48186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67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[excelfinal.xlsm]TABELA-SOCIAL!Tabela dinâmica13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Publicações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12-4721-9DF8-250DDDD66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L$14" max="2030" min="2023" page="10" val="2023"/>
</file>

<file path=xl/ctrlProps/ctrlProp2.xml><?xml version="1.0" encoding="utf-8"?>
<formControlPr xmlns="http://schemas.microsoft.com/office/spreadsheetml/2009/9/main" objectType="Spin" dx="22" fmlaLink="$O$14" max="12" min="1" page="10" val="6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projeto!A1"/><Relationship Id="rId7" Type="http://schemas.openxmlformats.org/officeDocument/2006/relationships/image" Target="../media/image3.png"/><Relationship Id="rId2" Type="http://schemas.openxmlformats.org/officeDocument/2006/relationships/hyperlink" Target="#Sumario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#social!A1"/><Relationship Id="rId4" Type="http://schemas.openxmlformats.org/officeDocument/2006/relationships/hyperlink" Target="#calendario!A1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hyperlink" Target="#capa!A1"/><Relationship Id="rId1" Type="http://schemas.openxmlformats.org/officeDocument/2006/relationships/image" Target="../media/image6.png"/><Relationship Id="rId6" Type="http://schemas.openxmlformats.org/officeDocument/2006/relationships/hyperlink" Target="#social!A1"/><Relationship Id="rId5" Type="http://schemas.openxmlformats.org/officeDocument/2006/relationships/hyperlink" Target="#calendario!A1"/><Relationship Id="rId4" Type="http://schemas.openxmlformats.org/officeDocument/2006/relationships/hyperlink" Target="#projeto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hyperlink" Target="#capa!A1"/><Relationship Id="rId1" Type="http://schemas.openxmlformats.org/officeDocument/2006/relationships/image" Target="../media/image6.png"/><Relationship Id="rId6" Type="http://schemas.openxmlformats.org/officeDocument/2006/relationships/hyperlink" Target="#social!A1"/><Relationship Id="rId5" Type="http://schemas.openxmlformats.org/officeDocument/2006/relationships/hyperlink" Target="#calendario!A1"/><Relationship Id="rId4" Type="http://schemas.openxmlformats.org/officeDocument/2006/relationships/hyperlink" Target="#sumario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hyperlink" Target="#social!A1"/><Relationship Id="rId2" Type="http://schemas.openxmlformats.org/officeDocument/2006/relationships/image" Target="../media/image7.png"/><Relationship Id="rId1" Type="http://schemas.openxmlformats.org/officeDocument/2006/relationships/hyperlink" Target="#capa!A1"/><Relationship Id="rId6" Type="http://schemas.openxmlformats.org/officeDocument/2006/relationships/hyperlink" Target="#calendario!A1"/><Relationship Id="rId5" Type="http://schemas.openxmlformats.org/officeDocument/2006/relationships/hyperlink" Target="#projeto!A1"/><Relationship Id="rId4" Type="http://schemas.openxmlformats.org/officeDocument/2006/relationships/hyperlink" Target="#sumari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image" Target="../media/image11.png"/><Relationship Id="rId3" Type="http://schemas.openxmlformats.org/officeDocument/2006/relationships/image" Target="../media/image7.png"/><Relationship Id="rId7" Type="http://schemas.openxmlformats.org/officeDocument/2006/relationships/chart" Target="../charts/chart1.xml"/><Relationship Id="rId12" Type="http://schemas.openxmlformats.org/officeDocument/2006/relationships/image" Target="../media/image10.png"/><Relationship Id="rId2" Type="http://schemas.openxmlformats.org/officeDocument/2006/relationships/hyperlink" Target="#capa!A1"/><Relationship Id="rId1" Type="http://schemas.openxmlformats.org/officeDocument/2006/relationships/image" Target="../media/image9.png"/><Relationship Id="rId6" Type="http://schemas.openxmlformats.org/officeDocument/2006/relationships/hyperlink" Target="#calendario!A1"/><Relationship Id="rId11" Type="http://schemas.openxmlformats.org/officeDocument/2006/relationships/chart" Target="../charts/chart5.xml"/><Relationship Id="rId5" Type="http://schemas.openxmlformats.org/officeDocument/2006/relationships/hyperlink" Target="#projeto!A1"/><Relationship Id="rId15" Type="http://schemas.openxmlformats.org/officeDocument/2006/relationships/image" Target="../media/image13.png"/><Relationship Id="rId10" Type="http://schemas.openxmlformats.org/officeDocument/2006/relationships/chart" Target="../charts/chart4.xml"/><Relationship Id="rId4" Type="http://schemas.openxmlformats.org/officeDocument/2006/relationships/hyperlink" Target="#sumario!A1"/><Relationship Id="rId9" Type="http://schemas.openxmlformats.org/officeDocument/2006/relationships/chart" Target="../charts/chart3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585623</xdr:colOff>
      <xdr:row>14</xdr:row>
      <xdr:rowOff>48344</xdr:rowOff>
    </xdr:from>
    <xdr:to>
      <xdr:col>26</xdr:col>
      <xdr:colOff>225450</xdr:colOff>
      <xdr:row>48</xdr:row>
      <xdr:rowOff>67614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2273581">
          <a:off x="7327666" y="2715344"/>
          <a:ext cx="8833523" cy="649627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371475</xdr:colOff>
      <xdr:row>1</xdr:row>
      <xdr:rowOff>171451</xdr:rowOff>
    </xdr:from>
    <xdr:to>
      <xdr:col>9</xdr:col>
      <xdr:colOff>276225</xdr:colOff>
      <xdr:row>19</xdr:row>
      <xdr:rowOff>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361951"/>
          <a:ext cx="5391150" cy="3266600"/>
        </a:xfrm>
        <a:prstGeom prst="rect">
          <a:avLst/>
        </a:prstGeom>
      </xdr:spPr>
    </xdr:pic>
    <xdr:clientData/>
  </xdr:twoCellAnchor>
  <xdr:twoCellAnchor>
    <xdr:from>
      <xdr:col>14</xdr:col>
      <xdr:colOff>323851</xdr:colOff>
      <xdr:row>12</xdr:row>
      <xdr:rowOff>123824</xdr:rowOff>
    </xdr:from>
    <xdr:to>
      <xdr:col>18</xdr:col>
      <xdr:colOff>590551</xdr:colOff>
      <xdr:row>15</xdr:row>
      <xdr:rowOff>114300</xdr:rowOff>
    </xdr:to>
    <xdr:sp macro="" textlink="">
      <xdr:nvSpPr>
        <xdr:cNvPr id="4" name="Retângulo Arredondad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58251" y="240982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</a:rPr>
            <a:t>Súmario</a:t>
          </a:r>
        </a:p>
      </xdr:txBody>
    </xdr:sp>
    <xdr:clientData/>
  </xdr:twoCellAnchor>
  <xdr:twoCellAnchor>
    <xdr:from>
      <xdr:col>13</xdr:col>
      <xdr:colOff>152401</xdr:colOff>
      <xdr:row>17</xdr:row>
      <xdr:rowOff>104774</xdr:rowOff>
    </xdr:from>
    <xdr:to>
      <xdr:col>17</xdr:col>
      <xdr:colOff>419101</xdr:colOff>
      <xdr:row>20</xdr:row>
      <xdr:rowOff>95250</xdr:rowOff>
    </xdr:to>
    <xdr:sp macro="" textlink="">
      <xdr:nvSpPr>
        <xdr:cNvPr id="5" name="Retângulo Arredondad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077201" y="334327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Projetos</a:t>
          </a:r>
        </a:p>
      </xdr:txBody>
    </xdr:sp>
    <xdr:clientData/>
  </xdr:twoCellAnchor>
  <xdr:twoCellAnchor>
    <xdr:from>
      <xdr:col>12</xdr:col>
      <xdr:colOff>114301</xdr:colOff>
      <xdr:row>22</xdr:row>
      <xdr:rowOff>47624</xdr:rowOff>
    </xdr:from>
    <xdr:to>
      <xdr:col>16</xdr:col>
      <xdr:colOff>381001</xdr:colOff>
      <xdr:row>25</xdr:row>
      <xdr:rowOff>38100</xdr:rowOff>
    </xdr:to>
    <xdr:sp macro="" textlink="">
      <xdr:nvSpPr>
        <xdr:cNvPr id="6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429501" y="423862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Calendário</a:t>
          </a:r>
        </a:p>
      </xdr:txBody>
    </xdr:sp>
    <xdr:clientData/>
  </xdr:twoCellAnchor>
  <xdr:twoCellAnchor>
    <xdr:from>
      <xdr:col>11</xdr:col>
      <xdr:colOff>19051</xdr:colOff>
      <xdr:row>26</xdr:row>
      <xdr:rowOff>180974</xdr:rowOff>
    </xdr:from>
    <xdr:to>
      <xdr:col>15</xdr:col>
      <xdr:colOff>285751</xdr:colOff>
      <xdr:row>29</xdr:row>
      <xdr:rowOff>171450</xdr:rowOff>
    </xdr:to>
    <xdr:sp macro="" textlink="">
      <xdr:nvSpPr>
        <xdr:cNvPr id="7" name="Retângulo Arredondad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724651" y="513397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Social</a:t>
          </a:r>
        </a:p>
      </xdr:txBody>
    </xdr:sp>
    <xdr:clientData/>
  </xdr:twoCellAnchor>
  <xdr:twoCellAnchor>
    <xdr:from>
      <xdr:col>13</xdr:col>
      <xdr:colOff>590550</xdr:colOff>
      <xdr:row>12</xdr:row>
      <xdr:rowOff>57150</xdr:rowOff>
    </xdr:from>
    <xdr:to>
      <xdr:col>15</xdr:col>
      <xdr:colOff>114300</xdr:colOff>
      <xdr:row>16</xdr:row>
      <xdr:rowOff>19050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515350" y="2343150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428625</xdr:colOff>
      <xdr:row>26</xdr:row>
      <xdr:rowOff>104775</xdr:rowOff>
    </xdr:from>
    <xdr:to>
      <xdr:col>11</xdr:col>
      <xdr:colOff>561975</xdr:colOff>
      <xdr:row>30</xdr:row>
      <xdr:rowOff>66675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524625" y="5057775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504825</xdr:colOff>
      <xdr:row>21</xdr:row>
      <xdr:rowOff>171450</xdr:rowOff>
    </xdr:from>
    <xdr:to>
      <xdr:col>13</xdr:col>
      <xdr:colOff>28575</xdr:colOff>
      <xdr:row>25</xdr:row>
      <xdr:rowOff>133350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210425" y="4171950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504825</xdr:colOff>
      <xdr:row>17</xdr:row>
      <xdr:rowOff>19050</xdr:rowOff>
    </xdr:from>
    <xdr:to>
      <xdr:col>14</xdr:col>
      <xdr:colOff>28575</xdr:colOff>
      <xdr:row>20</xdr:row>
      <xdr:rowOff>171450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820025" y="3257550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0</xdr:colOff>
      <xdr:row>22</xdr:row>
      <xdr:rowOff>104775</xdr:rowOff>
    </xdr:from>
    <xdr:to>
      <xdr:col>12</xdr:col>
      <xdr:colOff>456590</xdr:colOff>
      <xdr:row>24</xdr:row>
      <xdr:rowOff>180365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5775"/>
          <a:ext cx="456590" cy="456590"/>
        </a:xfrm>
        <a:prstGeom prst="rect">
          <a:avLst/>
        </a:prstGeom>
      </xdr:spPr>
    </xdr:pic>
    <xdr:clientData/>
  </xdr:twoCellAnchor>
  <xdr:twoCellAnchor editAs="oneCell">
    <xdr:from>
      <xdr:col>10</xdr:col>
      <xdr:colOff>542926</xdr:colOff>
      <xdr:row>27</xdr:row>
      <xdr:rowOff>47624</xdr:rowOff>
    </xdr:from>
    <xdr:to>
      <xdr:col>11</xdr:col>
      <xdr:colOff>408965</xdr:colOff>
      <xdr:row>29</xdr:row>
      <xdr:rowOff>142263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8926" y="5191124"/>
          <a:ext cx="475639" cy="475639"/>
        </a:xfrm>
        <a:prstGeom prst="rect">
          <a:avLst/>
        </a:prstGeom>
      </xdr:spPr>
    </xdr:pic>
    <xdr:clientData/>
  </xdr:twoCellAnchor>
  <xdr:twoCellAnchor editAs="oneCell">
    <xdr:from>
      <xdr:col>12</xdr:col>
      <xdr:colOff>552450</xdr:colOff>
      <xdr:row>17</xdr:row>
      <xdr:rowOff>104164</xdr:rowOff>
    </xdr:from>
    <xdr:to>
      <xdr:col>13</xdr:col>
      <xdr:colOff>485775</xdr:colOff>
      <xdr:row>20</xdr:row>
      <xdr:rowOff>75589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7650" y="3342664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14</xdr:col>
      <xdr:colOff>67284</xdr:colOff>
      <xdr:row>12</xdr:row>
      <xdr:rowOff>171449</xdr:rowOff>
    </xdr:from>
    <xdr:to>
      <xdr:col>14</xdr:col>
      <xdr:colOff>552449</xdr:colOff>
      <xdr:row>15</xdr:row>
      <xdr:rowOff>85114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8601684" y="2457449"/>
          <a:ext cx="485165" cy="4851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114301</xdr:colOff>
      <xdr:row>1</xdr:row>
      <xdr:rowOff>76201</xdr:rowOff>
    </xdr:from>
    <xdr:to>
      <xdr:col>2</xdr:col>
      <xdr:colOff>1143001</xdr:colOff>
      <xdr:row>8</xdr:row>
      <xdr:rowOff>104747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3578"/>
          <a:ext cx="2246651" cy="1340185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12</xdr:row>
      <xdr:rowOff>76200</xdr:rowOff>
    </xdr:from>
    <xdr:to>
      <xdr:col>2</xdr:col>
      <xdr:colOff>1181100</xdr:colOff>
      <xdr:row>14</xdr:row>
      <xdr:rowOff>0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04850" y="2505075"/>
          <a:ext cx="1695450" cy="447675"/>
        </a:xfrm>
        <a:prstGeom prst="roundRect">
          <a:avLst/>
        </a:prstGeom>
        <a:solidFill>
          <a:srgbClr val="1DBF0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Malgun Gothic" panose="020B0503020000020004" pitchFamily="34" charset="-127"/>
              <a:ea typeface="Malgun Gothic" panose="020B0503020000020004" pitchFamily="34" charset="-127"/>
            </a:rPr>
            <a:t>SÚMARIO</a:t>
          </a:r>
        </a:p>
      </xdr:txBody>
    </xdr:sp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6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08499" y="3011521"/>
          <a:ext cx="1693828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7" name="Retângulo Arredondad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11133" y="3521413"/>
          <a:ext cx="1693828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CALENDÁRIO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8" name="Retângulo Arredondad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04040" y="4035966"/>
          <a:ext cx="1692207" cy="44767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SOCIAL</a:t>
          </a:r>
        </a:p>
      </xdr:txBody>
    </xdr:sp>
    <xdr:clientData/>
  </xdr:twoCellAnchor>
  <xdr:twoCellAnchor>
    <xdr:from>
      <xdr:col>3</xdr:col>
      <xdr:colOff>200525</xdr:colOff>
      <xdr:row>0</xdr:row>
      <xdr:rowOff>125329</xdr:rowOff>
    </xdr:from>
    <xdr:to>
      <xdr:col>24</xdr:col>
      <xdr:colOff>242302</xdr:colOff>
      <xdr:row>35</xdr:row>
      <xdr:rowOff>142039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654613" y="125329"/>
          <a:ext cx="12749248" cy="7266916"/>
        </a:xfrm>
        <a:prstGeom prst="roundRect">
          <a:avLst>
            <a:gd name="adj" fmla="val 5862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noFill/>
            </a:ln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242302</xdr:colOff>
      <xdr:row>0</xdr:row>
      <xdr:rowOff>125330</xdr:rowOff>
    </xdr:from>
    <xdr:to>
      <xdr:col>24</xdr:col>
      <xdr:colOff>233945</xdr:colOff>
      <xdr:row>35</xdr:row>
      <xdr:rowOff>133685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96390" y="125330"/>
          <a:ext cx="12699114" cy="7258561"/>
        </a:xfrm>
        <a:prstGeom prst="roundRect">
          <a:avLst>
            <a:gd name="adj" fmla="val 439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1143001</xdr:colOff>
      <xdr:row>8</xdr:row>
      <xdr:rowOff>104747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47900" cy="1362046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12</xdr:row>
      <xdr:rowOff>76200</xdr:rowOff>
    </xdr:from>
    <xdr:to>
      <xdr:col>2</xdr:col>
      <xdr:colOff>1181100</xdr:colOff>
      <xdr:row>14</xdr:row>
      <xdr:rowOff>0</xdr:rowOff>
    </xdr:to>
    <xdr:sp macro="" textlink="">
      <xdr:nvSpPr>
        <xdr:cNvPr id="5" name="Retângulo Arredondad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704850" y="2505075"/>
          <a:ext cx="1695450" cy="447675"/>
        </a:xfrm>
        <a:prstGeom prst="roundRect">
          <a:avLst/>
        </a:prstGeom>
        <a:solidFill>
          <a:srgbClr val="04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Malgun Gothic" panose="020B0503020000020004" pitchFamily="34" charset="-127"/>
              <a:ea typeface="Malgun Gothic" panose="020B0503020000020004" pitchFamily="34" charset="-127"/>
            </a:rPr>
            <a:t>SÚMARIO</a:t>
          </a:r>
        </a:p>
      </xdr:txBody>
    </xdr:sp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F25C0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7" name="Retângulo Arredondad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CALENDÁRIO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8" name="Retângulo Arredondad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SOCIAL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12</xdr:row>
          <xdr:rowOff>9525</xdr:rowOff>
        </xdr:from>
        <xdr:to>
          <xdr:col>12</xdr:col>
          <xdr:colOff>590550</xdr:colOff>
          <xdr:row>14</xdr:row>
          <xdr:rowOff>9525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11</xdr:row>
          <xdr:rowOff>371475</xdr:rowOff>
        </xdr:from>
        <xdr:to>
          <xdr:col>15</xdr:col>
          <xdr:colOff>619125</xdr:colOff>
          <xdr:row>13</xdr:row>
          <xdr:rowOff>371475</xdr:rowOff>
        </xdr:to>
        <xdr:sp macro="" textlink="">
          <xdr:nvSpPr>
            <xdr:cNvPr id="6146" name="Spinner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600214"/>
          <a:ext cx="409575" cy="39687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</xdr:row>
      <xdr:rowOff>1681</xdr:rowOff>
    </xdr:from>
    <xdr:to>
      <xdr:col>7</xdr:col>
      <xdr:colOff>142875</xdr:colOff>
      <xdr:row>7</xdr:row>
      <xdr:rowOff>173131</xdr:rowOff>
    </xdr:to>
    <xdr:sp macro="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734235" y="192181"/>
          <a:ext cx="1308287" cy="1482538"/>
        </a:xfrm>
        <a:prstGeom prst="roundRect">
          <a:avLst>
            <a:gd name="adj" fmla="val 17130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001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447675</xdr:colOff>
      <xdr:row>0</xdr:row>
      <xdr:rowOff>180975</xdr:rowOff>
    </xdr:from>
    <xdr:to>
      <xdr:col>24</xdr:col>
      <xdr:colOff>9525</xdr:colOff>
      <xdr:row>7</xdr:row>
      <xdr:rowOff>161925</xdr:rowOff>
    </xdr:to>
    <xdr:sp macro="" textlink="">
      <xdr:nvSpPr>
        <xdr:cNvPr id="14" name="Retângulo Arredondad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2646244" y="180975"/>
          <a:ext cx="1296057" cy="13144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001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672353</xdr:colOff>
      <xdr:row>28</xdr:row>
      <xdr:rowOff>19050</xdr:rowOff>
    </xdr:from>
    <xdr:to>
      <xdr:col>7</xdr:col>
      <xdr:colOff>133350</xdr:colOff>
      <xdr:row>34</xdr:row>
      <xdr:rowOff>179294</xdr:rowOff>
    </xdr:to>
    <xdr:sp macro="" textlink="">
      <xdr:nvSpPr>
        <xdr:cNvPr id="15" name="Retângulo Arredondad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723029" y="6014197"/>
          <a:ext cx="1309968" cy="1303244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001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439831</xdr:colOff>
      <xdr:row>28</xdr:row>
      <xdr:rowOff>20731</xdr:rowOff>
    </xdr:from>
    <xdr:to>
      <xdr:col>24</xdr:col>
      <xdr:colOff>0</xdr:colOff>
      <xdr:row>35</xdr:row>
      <xdr:rowOff>1681</xdr:rowOff>
    </xdr:to>
    <xdr:sp macro="" textlink="">
      <xdr:nvSpPr>
        <xdr:cNvPr id="16" name="Retângulo Arredondad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12687860" y="6015878"/>
          <a:ext cx="1308287" cy="13144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001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1120589</xdr:colOff>
      <xdr:row>7</xdr:row>
      <xdr:rowOff>123797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16523" cy="1358684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26" name="Imagem 2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12</xdr:row>
      <xdr:rowOff>76200</xdr:rowOff>
    </xdr:from>
    <xdr:to>
      <xdr:col>2</xdr:col>
      <xdr:colOff>1181100</xdr:colOff>
      <xdr:row>14</xdr:row>
      <xdr:rowOff>0</xdr:rowOff>
    </xdr:to>
    <xdr:sp macro="" textlink="">
      <xdr:nvSpPr>
        <xdr:cNvPr id="27" name="Retângulo Arredondado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704850" y="2505075"/>
          <a:ext cx="1695450" cy="447675"/>
        </a:xfrm>
        <a:prstGeom prst="roundRect">
          <a:avLst/>
        </a:prstGeom>
        <a:solidFill>
          <a:srgbClr val="04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Malgun Gothic" panose="020B0503020000020004" pitchFamily="34" charset="-127"/>
              <a:ea typeface="Malgun Gothic" panose="020B0503020000020004" pitchFamily="34" charset="-127"/>
            </a:rPr>
            <a:t>SÚMARIO</a:t>
          </a:r>
        </a:p>
      </xdr:txBody>
    </xdr:sp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28" name="Retângulo Arredondado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29" name="Retângulo Arredondado 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F2BC1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CALENDÁRIO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30" name="Retângulo Arredondado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SOCIAL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44649</xdr:colOff>
      <xdr:row>21</xdr:row>
      <xdr:rowOff>163712</xdr:rowOff>
    </xdr:from>
    <xdr:to>
      <xdr:col>2</xdr:col>
      <xdr:colOff>1205508</xdr:colOff>
      <xdr:row>31</xdr:row>
      <xdr:rowOff>74413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9" name="MÊS 1">
              <a:extLst>
                <a:ext uri="{FF2B5EF4-FFF2-40B4-BE49-F238E27FC236}">
                  <a16:creationId xmlns:a16="http://schemas.microsoft.com/office/drawing/2014/main" id="{ECD2CC1D-50C6-4D5B-8CCB-184195A647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4844" y="4762501"/>
              <a:ext cx="1771055" cy="18454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1143001</xdr:colOff>
      <xdr:row>8</xdr:row>
      <xdr:rowOff>104747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47900" cy="1362046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12</xdr:row>
      <xdr:rowOff>76200</xdr:rowOff>
    </xdr:from>
    <xdr:to>
      <xdr:col>2</xdr:col>
      <xdr:colOff>1181100</xdr:colOff>
      <xdr:row>14</xdr:row>
      <xdr:rowOff>0</xdr:rowOff>
    </xdr:to>
    <xdr:sp macro="" textlink="">
      <xdr:nvSpPr>
        <xdr:cNvPr id="5" name="Retângulo Arredondad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704850" y="2505075"/>
          <a:ext cx="1695450" cy="44767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Malgun Gothic" panose="020B0503020000020004" pitchFamily="34" charset="-127"/>
              <a:ea typeface="Malgun Gothic" panose="020B0503020000020004" pitchFamily="34" charset="-127"/>
            </a:rPr>
            <a:t>SÚMARIO</a:t>
          </a:r>
        </a:p>
      </xdr:txBody>
    </xdr:sp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6" name="Retângulo Arredondad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7" name="Retângulo Arredondad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CALENDÁRIO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F2303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SOCIAL</a:t>
          </a:r>
        </a:p>
      </xdr:txBody>
    </xdr:sp>
    <xdr:clientData/>
  </xdr:twoCellAnchor>
  <xdr:twoCellAnchor>
    <xdr:from>
      <xdr:col>3</xdr:col>
      <xdr:colOff>217237</xdr:colOff>
      <xdr:row>0</xdr:row>
      <xdr:rowOff>108618</xdr:rowOff>
    </xdr:from>
    <xdr:to>
      <xdr:col>24</xdr:col>
      <xdr:colOff>259013</xdr:colOff>
      <xdr:row>35</xdr:row>
      <xdr:rowOff>116973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691547" y="108618"/>
          <a:ext cx="12916949" cy="7091889"/>
        </a:xfrm>
        <a:prstGeom prst="roundRect">
          <a:avLst>
            <a:gd name="adj" fmla="val 691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146382</xdr:colOff>
      <xdr:row>7</xdr:row>
      <xdr:rowOff>178593</xdr:rowOff>
    </xdr:from>
    <xdr:to>
      <xdr:col>13</xdr:col>
      <xdr:colOff>595314</xdr:colOff>
      <xdr:row>18</xdr:row>
      <xdr:rowOff>119063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48CC363-766F-4B7A-8265-EAB663CF7C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126141</xdr:colOff>
      <xdr:row>19</xdr:row>
      <xdr:rowOff>29766</xdr:rowOff>
    </xdr:from>
    <xdr:to>
      <xdr:col>13</xdr:col>
      <xdr:colOff>550665</xdr:colOff>
      <xdr:row>33</xdr:row>
      <xdr:rowOff>169135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FCAE5975-EFAB-429B-8A37-CA41FFEC13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241279</xdr:colOff>
      <xdr:row>7</xdr:row>
      <xdr:rowOff>178594</xdr:rowOff>
    </xdr:from>
    <xdr:to>
      <xdr:col>23</xdr:col>
      <xdr:colOff>282775</xdr:colOff>
      <xdr:row>18</xdr:row>
      <xdr:rowOff>113684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5D9E32E1-BC01-4737-9F79-ECD3D2E378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604905</xdr:colOff>
      <xdr:row>0</xdr:row>
      <xdr:rowOff>172046</xdr:rowOff>
    </xdr:from>
    <xdr:to>
      <xdr:col>28</xdr:col>
      <xdr:colOff>0</xdr:colOff>
      <xdr:row>13</xdr:row>
      <xdr:rowOff>315494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38A1BFBA-231E-40B4-B2E2-EB5AB03A33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191234</xdr:colOff>
      <xdr:row>19</xdr:row>
      <xdr:rowOff>29767</xdr:rowOff>
    </xdr:from>
    <xdr:to>
      <xdr:col>23</xdr:col>
      <xdr:colOff>324517</xdr:colOff>
      <xdr:row>33</xdr:row>
      <xdr:rowOff>162771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3EA0B82A-DF67-4ED5-BA42-BAB3251DF6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384711</xdr:colOff>
      <xdr:row>1</xdr:row>
      <xdr:rowOff>108618</xdr:rowOff>
    </xdr:from>
    <xdr:to>
      <xdr:col>8</xdr:col>
      <xdr:colOff>30671</xdr:colOff>
      <xdr:row>7</xdr:row>
      <xdr:rowOff>88036</xdr:rowOff>
    </xdr:to>
    <xdr:sp macro="" textlink="">
      <xdr:nvSpPr>
        <xdr:cNvPr id="25" name="Retângulo Arredondado 3">
          <a:extLst>
            <a:ext uri="{FF2B5EF4-FFF2-40B4-BE49-F238E27FC236}">
              <a16:creationId xmlns:a16="http://schemas.microsoft.com/office/drawing/2014/main" id="{5F606332-C06F-4477-8C02-8C6CBA74C51D}"/>
            </a:ext>
          </a:extLst>
        </xdr:cNvPr>
        <xdr:cNvSpPr/>
      </xdr:nvSpPr>
      <xdr:spPr>
        <a:xfrm>
          <a:off x="2855258" y="302095"/>
          <a:ext cx="2696936" cy="1140277"/>
        </a:xfrm>
        <a:prstGeom prst="roundRect">
          <a:avLst>
            <a:gd name="adj" fmla="val 7800"/>
          </a:avLst>
        </a:prstGeom>
        <a:solidFill>
          <a:schemeClr val="accent1">
            <a:lumMod val="60000"/>
            <a:lumOff val="4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135275</xdr:colOff>
      <xdr:row>1</xdr:row>
      <xdr:rowOff>97306</xdr:rowOff>
    </xdr:from>
    <xdr:to>
      <xdr:col>12</xdr:col>
      <xdr:colOff>391429</xdr:colOff>
      <xdr:row>7</xdr:row>
      <xdr:rowOff>76724</xdr:rowOff>
    </xdr:to>
    <xdr:sp macro="" textlink="">
      <xdr:nvSpPr>
        <xdr:cNvPr id="26" name="Retângulo Arredondado 3">
          <a:extLst>
            <a:ext uri="{FF2B5EF4-FFF2-40B4-BE49-F238E27FC236}">
              <a16:creationId xmlns:a16="http://schemas.microsoft.com/office/drawing/2014/main" id="{71025357-2244-46C5-8852-1583D130CA75}"/>
            </a:ext>
          </a:extLst>
        </xdr:cNvPr>
        <xdr:cNvSpPr/>
      </xdr:nvSpPr>
      <xdr:spPr>
        <a:xfrm>
          <a:off x="5656798" y="290783"/>
          <a:ext cx="2696936" cy="1140277"/>
        </a:xfrm>
        <a:prstGeom prst="roundRect">
          <a:avLst>
            <a:gd name="adj" fmla="val 7800"/>
          </a:avLst>
        </a:prstGeom>
        <a:solidFill>
          <a:schemeClr val="accent1">
            <a:lumMod val="60000"/>
            <a:lumOff val="4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496034</xdr:colOff>
      <xdr:row>1</xdr:row>
      <xdr:rowOff>100879</xdr:rowOff>
    </xdr:from>
    <xdr:to>
      <xdr:col>17</xdr:col>
      <xdr:colOff>141994</xdr:colOff>
      <xdr:row>7</xdr:row>
      <xdr:rowOff>80297</xdr:rowOff>
    </xdr:to>
    <xdr:sp macro="" textlink="">
      <xdr:nvSpPr>
        <xdr:cNvPr id="27" name="Retângulo Arredondado 3">
          <a:extLst>
            <a:ext uri="{FF2B5EF4-FFF2-40B4-BE49-F238E27FC236}">
              <a16:creationId xmlns:a16="http://schemas.microsoft.com/office/drawing/2014/main" id="{FA58D37B-8350-4034-A107-1CCA76DD0849}"/>
            </a:ext>
          </a:extLst>
        </xdr:cNvPr>
        <xdr:cNvSpPr/>
      </xdr:nvSpPr>
      <xdr:spPr>
        <a:xfrm>
          <a:off x="8458339" y="294356"/>
          <a:ext cx="2696936" cy="1140277"/>
        </a:xfrm>
        <a:prstGeom prst="roundRect">
          <a:avLst>
            <a:gd name="adj" fmla="val 7800"/>
          </a:avLst>
        </a:prstGeom>
        <a:solidFill>
          <a:schemeClr val="accent1">
            <a:lumMod val="60000"/>
            <a:lumOff val="4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231716</xdr:colOff>
      <xdr:row>1</xdr:row>
      <xdr:rowOff>89568</xdr:rowOff>
    </xdr:from>
    <xdr:to>
      <xdr:col>21</xdr:col>
      <xdr:colOff>487870</xdr:colOff>
      <xdr:row>7</xdr:row>
      <xdr:rowOff>68986</xdr:rowOff>
    </xdr:to>
    <xdr:sp macro="" textlink="">
      <xdr:nvSpPr>
        <xdr:cNvPr id="28" name="Retângulo Arredondado 3">
          <a:extLst>
            <a:ext uri="{FF2B5EF4-FFF2-40B4-BE49-F238E27FC236}">
              <a16:creationId xmlns:a16="http://schemas.microsoft.com/office/drawing/2014/main" id="{1D466198-02D5-4E82-96AB-34860ECF3C9B}"/>
            </a:ext>
          </a:extLst>
        </xdr:cNvPr>
        <xdr:cNvSpPr/>
      </xdr:nvSpPr>
      <xdr:spPr>
        <a:xfrm>
          <a:off x="11244997" y="283045"/>
          <a:ext cx="2696936" cy="1140277"/>
        </a:xfrm>
        <a:prstGeom prst="roundRect">
          <a:avLst>
            <a:gd name="adj" fmla="val 7800"/>
          </a:avLst>
        </a:prstGeom>
        <a:solidFill>
          <a:schemeClr val="accent1">
            <a:lumMod val="60000"/>
            <a:lumOff val="4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59532</xdr:colOff>
      <xdr:row>21</xdr:row>
      <xdr:rowOff>29766</xdr:rowOff>
    </xdr:from>
    <xdr:to>
      <xdr:col>2</xdr:col>
      <xdr:colOff>1145977</xdr:colOff>
      <xdr:row>21</xdr:row>
      <xdr:rowOff>29766</xdr:rowOff>
    </xdr:to>
    <xdr:cxnSp macro="">
      <xdr:nvCxnSpPr>
        <xdr:cNvPr id="30" name="Conector reto 29">
          <a:extLst>
            <a:ext uri="{FF2B5EF4-FFF2-40B4-BE49-F238E27FC236}">
              <a16:creationId xmlns:a16="http://schemas.microsoft.com/office/drawing/2014/main" id="{82CBBDBC-4B58-460E-A9BC-7414C024684D}"/>
            </a:ext>
          </a:extLst>
        </xdr:cNvPr>
        <xdr:cNvCxnSpPr/>
      </xdr:nvCxnSpPr>
      <xdr:spPr>
        <a:xfrm>
          <a:off x="669727" y="4628555"/>
          <a:ext cx="1696641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399594</xdr:colOff>
      <xdr:row>2</xdr:row>
      <xdr:rowOff>78853</xdr:rowOff>
    </xdr:from>
    <xdr:to>
      <xdr:col>5</xdr:col>
      <xdr:colOff>9584</xdr:colOff>
      <xdr:row>6</xdr:row>
      <xdr:rowOff>132947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23BB8BFF-3D82-4ED0-9366-DA4F08DF9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70141" y="465806"/>
          <a:ext cx="830381" cy="828000"/>
        </a:xfrm>
        <a:prstGeom prst="rect">
          <a:avLst/>
        </a:prstGeom>
      </xdr:spPr>
    </xdr:pic>
    <xdr:clientData/>
  </xdr:twoCellAnchor>
  <xdr:twoCellAnchor editAs="oneCell">
    <xdr:from>
      <xdr:col>8</xdr:col>
      <xdr:colOff>239455</xdr:colOff>
      <xdr:row>2</xdr:row>
      <xdr:rowOff>127071</xdr:rowOff>
    </xdr:from>
    <xdr:to>
      <xdr:col>9</xdr:col>
      <xdr:colOff>327422</xdr:colOff>
      <xdr:row>6</xdr:row>
      <xdr:rowOff>51328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FC22ACFB-4EBB-45C0-8377-098C2FBDC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60978" y="514024"/>
          <a:ext cx="698163" cy="698163"/>
        </a:xfrm>
        <a:prstGeom prst="rect">
          <a:avLst/>
        </a:prstGeom>
      </xdr:spPr>
    </xdr:pic>
    <xdr:clientData/>
  </xdr:twoCellAnchor>
  <xdr:twoCellAnchor editAs="oneCell">
    <xdr:from>
      <xdr:col>13</xdr:col>
      <xdr:colOff>59533</xdr:colOff>
      <xdr:row>2</xdr:row>
      <xdr:rowOff>89297</xdr:rowOff>
    </xdr:from>
    <xdr:to>
      <xdr:col>14</xdr:col>
      <xdr:colOff>89299</xdr:colOff>
      <xdr:row>5</xdr:row>
      <xdr:rowOff>174920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3B4192CA-FA45-460B-BBFB-ABCECF1A6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2033" y="476250"/>
          <a:ext cx="639961" cy="666053"/>
        </a:xfrm>
        <a:prstGeom prst="rect">
          <a:avLst/>
        </a:prstGeom>
      </xdr:spPr>
    </xdr:pic>
    <xdr:clientData/>
  </xdr:twoCellAnchor>
  <xdr:twoCellAnchor editAs="oneCell">
    <xdr:from>
      <xdr:col>17</xdr:col>
      <xdr:colOff>357188</xdr:colOff>
      <xdr:row>2</xdr:row>
      <xdr:rowOff>178594</xdr:rowOff>
    </xdr:from>
    <xdr:to>
      <xdr:col>18</xdr:col>
      <xdr:colOff>401835</xdr:colOff>
      <xdr:row>6</xdr:row>
      <xdr:rowOff>29766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EFC1E800-94B5-461D-8D37-39220D957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0469" y="565547"/>
          <a:ext cx="654843" cy="62507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142875</xdr:rowOff>
    </xdr:from>
    <xdr:to>
      <xdr:col>3</xdr:col>
      <xdr:colOff>542925</xdr:colOff>
      <xdr:row>21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EE274F2-DFDF-4328-AD03-6B9AED9298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723900</xdr:colOff>
      <xdr:row>9</xdr:row>
      <xdr:rowOff>38100</xdr:rowOff>
    </xdr:from>
    <xdr:to>
      <xdr:col>7</xdr:col>
      <xdr:colOff>371475</xdr:colOff>
      <xdr:row>21</xdr:row>
      <xdr:rowOff>42862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3656788-7383-4AA3-8CBE-CA14CCD380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447675</xdr:colOff>
      <xdr:row>9</xdr:row>
      <xdr:rowOff>14287</xdr:rowOff>
    </xdr:from>
    <xdr:to>
      <xdr:col>10</xdr:col>
      <xdr:colOff>2000250</xdr:colOff>
      <xdr:row>23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B5354F5-7045-4158-8145-2DBBBFEB30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2190750</xdr:colOff>
      <xdr:row>9</xdr:row>
      <xdr:rowOff>52387</xdr:rowOff>
    </xdr:from>
    <xdr:to>
      <xdr:col>18</xdr:col>
      <xdr:colOff>142875</xdr:colOff>
      <xdr:row>23</xdr:row>
      <xdr:rowOff>128587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ABD8EF0-304C-48EC-A195-AF41DD75EA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254453</xdr:colOff>
      <xdr:row>25</xdr:row>
      <xdr:rowOff>87086</xdr:rowOff>
    </xdr:from>
    <xdr:to>
      <xdr:col>6</xdr:col>
      <xdr:colOff>1470931</xdr:colOff>
      <xdr:row>38</xdr:row>
      <xdr:rowOff>178934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MÊS">
              <a:extLst>
                <a:ext uri="{FF2B5EF4-FFF2-40B4-BE49-F238E27FC236}">
                  <a16:creationId xmlns:a16="http://schemas.microsoft.com/office/drawing/2014/main" id="{DE11D614-00A4-4513-8670-27C8D3C983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50286" y="4937780"/>
              <a:ext cx="1833839" cy="26142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milia" refreshedDate="45466.69920949074" createdVersion="6" refreshedVersion="6" minRefreshableVersion="3" recordCount="5" xr:uid="{721B294B-F9AE-49D8-96B4-6EFDEEFB7799}">
  <cacheSource type="worksheet">
    <worksheetSource name="Tabela5"/>
  </cacheSource>
  <cacheFields count="5">
    <cacheField name="MÊS" numFmtId="0">
      <sharedItems count="5">
        <s v="JANEIRO"/>
        <s v="FEVEREIRO"/>
        <s v="MARÇO"/>
        <s v="ABRIL"/>
        <s v="MAIO"/>
      </sharedItems>
    </cacheField>
    <cacheField name="SEGUIDORES" numFmtId="0">
      <sharedItems containsSemiMixedTypes="0" containsString="0" containsNumber="1" containsInteger="1" minValue="36" maxValue="52"/>
    </cacheField>
    <cacheField name="STORY VISUALIZADOS" numFmtId="0">
      <sharedItems containsSemiMixedTypes="0" containsString="0" containsNumber="1" containsInteger="1" minValue="3041" maxValue="3192"/>
    </cacheField>
    <cacheField name="CURTIDAS" numFmtId="0">
      <sharedItems containsSemiMixedTypes="0" containsString="0" containsNumber="1" containsInteger="1" minValue="112" maxValue="145"/>
    </cacheField>
    <cacheField name="PUBLICAÇÕES VISUALIZADAS" numFmtId="0">
      <sharedItems containsSemiMixedTypes="0" containsString="0" containsNumber="1" containsInteger="1" minValue="1008" maxValue="1054"/>
    </cacheField>
  </cacheFields>
  <extLst>
    <ext xmlns:x14="http://schemas.microsoft.com/office/spreadsheetml/2009/9/main" uri="{725AE2AE-9491-48be-B2B4-4EB974FC3084}">
      <x14:pivotCacheDefinition pivotCacheId="71212527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47"/>
    <n v="3069"/>
    <n v="143"/>
    <n v="1014"/>
  </r>
  <r>
    <x v="1"/>
    <n v="51"/>
    <n v="3041"/>
    <n v="129"/>
    <n v="1021"/>
  </r>
  <r>
    <x v="2"/>
    <n v="36"/>
    <n v="3080"/>
    <n v="120"/>
    <n v="1054"/>
  </r>
  <r>
    <x v="3"/>
    <n v="49"/>
    <n v="3061"/>
    <n v="112"/>
    <n v="1026"/>
  </r>
  <r>
    <x v="4"/>
    <n v="52"/>
    <n v="3192"/>
    <n v="145"/>
    <n v="10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02C5D1-DF52-4BB0-8353-45BDD0DC0ECF}" name="Tabela dinâmica13" cacheId="1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7">
  <location ref="J3:K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PUBLICAÇÕES VISUALIZADAS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F834BD-1D65-47A6-BBC1-2A30BBC8AD59}" name="Tabela dinâmica12" cacheId="1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G3:H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dataField="1"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CURTIDAS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11BD9D-0327-44CD-95A9-9FB4B90269F3}" name="Tabela dinâmica11" cacheId="1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D3:E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dataField="1"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STORY VISUALIZADOS" fld="2" baseField="0" baseItem="0"/>
  </dataFields>
  <chartFormats count="7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1EB674-F52D-4F1F-B65E-B84970F96BE4}" name="Tabela dinâmica10" cacheId="1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A3:B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SEGUIDORES" fld="1" baseField="0" baseItem="0"/>
  </dataField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growShrinkType="overwriteClear" adjustColumnWidth="0" connectionId="3" xr16:uid="{9AA4AC78-EC4D-41E9-AD59-92729AFD30F2}" autoFormatId="16" applyNumberFormats="0" applyBorderFormats="0" applyFontFormats="0" applyPatternFormats="0" applyAlignmentFormats="0" applyWidthHeightFormats="0">
  <queryTableRefresh nextId="4">
    <queryTableFields count="3">
      <queryTableField id="1" name="Dia" tableColumnId="4"/>
      <queryTableField id="2" name="Agenda.Horario " tableColumnId="2"/>
      <queryTableField id="3" name="Agenda.Anotação" tableColumnId="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39A044B8-A6B7-4418-ACA1-2771EDFB5E19}" sourceName="MÊS">
  <pivotTables>
    <pivotTable tabId="14" name="Tabela dinâmica10"/>
    <pivotTable tabId="14" name="Tabela dinâmica11"/>
    <pivotTable tabId="14" name="Tabela dinâmica12"/>
    <pivotTable tabId="14" name="Tabela dinâmica13"/>
  </pivotTables>
  <data>
    <tabular pivotCacheId="712125279">
      <items count="5">
        <i x="0" s="1"/>
        <i x="1" s="1"/>
        <i x="2" s="1"/>
        <i x="3" s="1"/>
        <i x="4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1" xr10:uid="{CEE5BC9B-239C-4773-A569-7A46F331CA16}" cache="SegmentaçãodeDados_MÊS" caption="MÊS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" xr10:uid="{84D76B75-26FE-405B-9C86-51BC80C1BD1C}" cache="SegmentaçãodeDados_MÊS" caption="MÊS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dias" displayName="dias" ref="S13:S14" totalsRowShown="0" headerRowDxfId="7" dataDxfId="6">
  <autoFilter ref="S13:S14" xr:uid="{03EEB8EF-FA44-49B8-9135-C431562537DA}"/>
  <tableColumns count="1">
    <tableColumn id="1" xr3:uid="{00000000-0010-0000-0000-000001000000}" name="Dia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7DFB7CD-DD62-4666-A0B3-32BBA39227F0}" name="OK" displayName="OK" ref="G20:I21" tableType="queryTable" totalsRowShown="0" headerRowDxfId="4" dataDxfId="0">
  <autoFilter ref="G20:I21" xr:uid="{AAA923FA-D6AA-4ACE-9779-9811C61C9629}"/>
  <tableColumns count="3">
    <tableColumn id="4" xr3:uid="{2297D25B-4802-4F14-A8CA-97986F44A761}" uniqueName="4" name="Dia" queryTableFieldId="1" dataDxfId="3"/>
    <tableColumn id="2" xr3:uid="{B167DE52-36C9-43C5-9F2A-BE24A49ED05F}" uniqueName="2" name="Agenda.Horario " queryTableFieldId="2" dataDxfId="2"/>
    <tableColumn id="3" xr3:uid="{5B3B351F-4937-4CAC-B6D9-DF464987414A}" uniqueName="3" name="Agenda.Anotação" queryTableFieldId="3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Agenda" displayName="Agenda" ref="B2:D25" totalsRowShown="0">
  <autoFilter ref="B2:D25" xr:uid="{00000000-0009-0000-0100-000001000000}"/>
  <tableColumns count="3">
    <tableColumn id="1" xr3:uid="{00000000-0010-0000-0100-000001000000}" name="Data"/>
    <tableColumn id="2" xr3:uid="{00000000-0010-0000-0100-000002000000}" name="Horario "/>
    <tableColumn id="3" xr3:uid="{00000000-0010-0000-0100-000003000000}" name="Anotaçã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1CD39DA-4B04-4949-9FEB-07AF2DE8F868}" name="Tabela5" displayName="Tabela5" ref="B2:F7" totalsRowShown="0">
  <autoFilter ref="B2:F7" xr:uid="{88B338CF-A411-4F83-BCD6-40431FCB1C72}"/>
  <tableColumns count="5">
    <tableColumn id="1" xr3:uid="{C6473A99-FDA8-4736-8CC1-CA41660C37F4}" name="MÊS"/>
    <tableColumn id="2" xr3:uid="{A04AB0BA-4844-43C1-89B0-8BDA04843835}" name="SEGUIDORES"/>
    <tableColumn id="3" xr3:uid="{CD3FEF3A-B07B-4E71-9BC4-C54FE789BE16}" name="STORY VISUALIZADOS"/>
    <tableColumn id="4" xr3:uid="{BBF768BE-351E-4C84-9175-5556DBFD74E4}" name="CURTIDAS"/>
    <tableColumn id="5" xr3:uid="{515A3234-D758-4E50-AC58-99BD4CDE394C}" name="PUBLICAÇÕES VISUALIZADA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3B8406-04CF-4AFD-B012-DD579F05803F}" name="Tabela7" displayName="Tabela7" ref="B10:F14" totalsRowShown="0">
  <autoFilter ref="B10:F14" xr:uid="{33879232-8812-4A29-A802-7813FD9EF2DD}"/>
  <tableColumns count="5">
    <tableColumn id="1" xr3:uid="{4C329E2D-CD42-4BF4-9625-FD15B78EE071}" name="AULAS"/>
    <tableColumn id="2" xr3:uid="{7DAE2977-25DD-43CA-85F5-E614E53B7B98}" name="Alunos"/>
    <tableColumn id="3" xr3:uid="{AB67D054-6913-4467-8519-E86D030DA6BB}" name="Meninos"/>
    <tableColumn id="4" xr3:uid="{C91BADC6-022A-4A10-A310-B0433CEAC6F1}" name="Meninas"/>
    <tableColumn id="5" xr3:uid="{485BD4C0-FBE5-484F-968C-0DAD2F6F81EA}" name="Faixa etari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2.xml"/><Relationship Id="rId5" Type="http://schemas.openxmlformats.org/officeDocument/2006/relationships/drawing" Target="../drawings/drawing6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B59"/>
  <sheetViews>
    <sheetView showGridLines="0" showRowColHeaders="0" tabSelected="1" zoomScale="66" zoomScaleNormal="131" workbookViewId="0">
      <selection activeCell="I23" sqref="I23"/>
    </sheetView>
  </sheetViews>
  <sheetFormatPr defaultColWidth="0" defaultRowHeight="15" zeroHeight="1" x14ac:dyDescent="0.25"/>
  <cols>
    <col min="1" max="27" width="9.140625" style="1" customWidth="1"/>
    <col min="28" max="28" width="10.85546875" style="1" customWidth="1"/>
    <col min="29" max="16384" width="9.140625" style="1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C1:XFC36"/>
  <sheetViews>
    <sheetView zoomScale="61" zoomScaleNormal="85" workbookViewId="0"/>
  </sheetViews>
  <sheetFormatPr defaultColWidth="0" defaultRowHeight="15" zeroHeight="1" x14ac:dyDescent="0.25"/>
  <cols>
    <col min="1" max="2" width="9.140625" style="1" customWidth="1"/>
    <col min="3" max="3" width="18.7109375" style="1" customWidth="1"/>
    <col min="4" max="27" width="9.140625" style="1" customWidth="1"/>
    <col min="28" max="16383" width="9.140625" style="1" hidden="1"/>
    <col min="16384" max="16384" width="10.85546875" style="1" customWidth="1"/>
  </cols>
  <sheetData>
    <row r="1" spans="3:3" x14ac:dyDescent="0.25"/>
    <row r="2" spans="3:3" x14ac:dyDescent="0.25"/>
    <row r="3" spans="3:3" x14ac:dyDescent="0.25"/>
    <row r="4" spans="3:3" x14ac:dyDescent="0.25"/>
    <row r="5" spans="3:3" x14ac:dyDescent="0.25"/>
    <row r="6" spans="3:3" x14ac:dyDescent="0.25"/>
    <row r="7" spans="3:3" x14ac:dyDescent="0.25"/>
    <row r="8" spans="3:3" x14ac:dyDescent="0.25"/>
    <row r="9" spans="3:3" x14ac:dyDescent="0.25"/>
    <row r="10" spans="3:3" x14ac:dyDescent="0.25"/>
    <row r="11" spans="3:3" x14ac:dyDescent="0.25"/>
    <row r="12" spans="3:3" ht="26.25" x14ac:dyDescent="0.45">
      <c r="C12" s="2"/>
    </row>
    <row r="13" spans="3:3" x14ac:dyDescent="0.25"/>
    <row r="14" spans="3:3" ht="26.25" x14ac:dyDescent="0.45">
      <c r="C14" s="2"/>
    </row>
    <row r="15" spans="3:3" x14ac:dyDescent="0.25"/>
    <row r="16" spans="3:3" ht="26.25" x14ac:dyDescent="0.45">
      <c r="C16" s="2"/>
    </row>
    <row r="17" spans="4:4" x14ac:dyDescent="0.25"/>
    <row r="18" spans="4:4" ht="26.25" x14ac:dyDescent="0.45">
      <c r="D18" s="2"/>
    </row>
    <row r="19" spans="4:4" x14ac:dyDescent="0.25"/>
    <row r="20" spans="4:4" x14ac:dyDescent="0.25"/>
    <row r="21" spans="4:4" x14ac:dyDescent="0.25"/>
    <row r="22" spans="4:4" x14ac:dyDescent="0.25"/>
    <row r="23" spans="4:4" x14ac:dyDescent="0.25"/>
    <row r="24" spans="4:4" x14ac:dyDescent="0.25"/>
    <row r="25" spans="4:4" x14ac:dyDescent="0.25"/>
    <row r="26" spans="4:4" x14ac:dyDescent="0.25"/>
    <row r="27" spans="4:4" x14ac:dyDescent="0.25"/>
    <row r="28" spans="4:4" x14ac:dyDescent="0.25"/>
    <row r="29" spans="4:4" x14ac:dyDescent="0.25"/>
    <row r="30" spans="4:4" x14ac:dyDescent="0.25"/>
    <row r="31" spans="4:4" x14ac:dyDescent="0.25"/>
    <row r="32" spans="4:4" x14ac:dyDescent="0.25"/>
    <row r="33" x14ac:dyDescent="0.25"/>
    <row r="34" x14ac:dyDescent="0.25"/>
    <row r="35" x14ac:dyDescent="0.25"/>
    <row r="36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A1:AB36"/>
  <sheetViews>
    <sheetView zoomScale="65" zoomScaleNormal="85" workbookViewId="0"/>
  </sheetViews>
  <sheetFormatPr defaultColWidth="0" defaultRowHeight="15" zeroHeight="1" x14ac:dyDescent="0.25"/>
  <cols>
    <col min="1" max="2" width="9.140625" style="1" customWidth="1"/>
    <col min="3" max="3" width="18.7109375" style="1" customWidth="1"/>
    <col min="4" max="28" width="9.140625" style="1" customWidth="1"/>
    <col min="29" max="16384" width="9.140625" style="1" hidden="1"/>
  </cols>
  <sheetData>
    <row r="1" spans="3:3" x14ac:dyDescent="0.25"/>
    <row r="2" spans="3:3" x14ac:dyDescent="0.25"/>
    <row r="3" spans="3:3" x14ac:dyDescent="0.25"/>
    <row r="4" spans="3:3" x14ac:dyDescent="0.25"/>
    <row r="5" spans="3:3" x14ac:dyDescent="0.25"/>
    <row r="6" spans="3:3" x14ac:dyDescent="0.25"/>
    <row r="7" spans="3:3" x14ac:dyDescent="0.25"/>
    <row r="8" spans="3:3" x14ac:dyDescent="0.25"/>
    <row r="9" spans="3:3" x14ac:dyDescent="0.25"/>
    <row r="10" spans="3:3" x14ac:dyDescent="0.25"/>
    <row r="11" spans="3:3" x14ac:dyDescent="0.25"/>
    <row r="12" spans="3:3" ht="26.25" x14ac:dyDescent="0.45">
      <c r="C12" s="2"/>
    </row>
    <row r="13" spans="3:3" x14ac:dyDescent="0.25"/>
    <row r="14" spans="3:3" ht="26.25" x14ac:dyDescent="0.45">
      <c r="C14" s="2"/>
    </row>
    <row r="15" spans="3:3" x14ac:dyDescent="0.25"/>
    <row r="16" spans="3:3" ht="26.25" x14ac:dyDescent="0.45">
      <c r="C16" s="2"/>
    </row>
    <row r="17" spans="4:4" x14ac:dyDescent="0.25"/>
    <row r="18" spans="4:4" ht="26.25" x14ac:dyDescent="0.45">
      <c r="D18" s="2"/>
    </row>
    <row r="19" spans="4:4" x14ac:dyDescent="0.25"/>
    <row r="20" spans="4:4" x14ac:dyDescent="0.25"/>
    <row r="21" spans="4:4" x14ac:dyDescent="0.25"/>
    <row r="22" spans="4:4" x14ac:dyDescent="0.25"/>
    <row r="23" spans="4:4" x14ac:dyDescent="0.25"/>
    <row r="24" spans="4:4" x14ac:dyDescent="0.25"/>
    <row r="25" spans="4:4" x14ac:dyDescent="0.25"/>
    <row r="26" spans="4:4" x14ac:dyDescent="0.25"/>
    <row r="27" spans="4:4" x14ac:dyDescent="0.25"/>
    <row r="28" spans="4:4" x14ac:dyDescent="0.25"/>
    <row r="29" spans="4:4" x14ac:dyDescent="0.25"/>
    <row r="30" spans="4:4" x14ac:dyDescent="0.25"/>
    <row r="31" spans="4:4" x14ac:dyDescent="0.25"/>
    <row r="32" spans="4:4" x14ac:dyDescent="0.25"/>
    <row r="33" x14ac:dyDescent="0.25"/>
    <row r="34" x14ac:dyDescent="0.25"/>
    <row r="35" x14ac:dyDescent="0.25"/>
    <row r="36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Y42"/>
  <sheetViews>
    <sheetView zoomScale="57" zoomScaleNormal="85" workbookViewId="0">
      <selection activeCell="G20" sqref="G20"/>
    </sheetView>
  </sheetViews>
  <sheetFormatPr defaultColWidth="0" defaultRowHeight="15" zeroHeight="1" x14ac:dyDescent="0.25"/>
  <cols>
    <col min="1" max="2" width="9.140625" style="1" customWidth="1"/>
    <col min="3" max="3" width="18.7109375" style="1" customWidth="1"/>
    <col min="4" max="4" width="0.42578125" style="1" customWidth="1"/>
    <col min="5" max="5" width="10.28515625" style="1" customWidth="1"/>
    <col min="6" max="6" width="8.7109375" style="1" customWidth="1"/>
    <col min="7" max="7" width="15.5703125" style="1" customWidth="1"/>
    <col min="8" max="8" width="24.5703125" style="3" customWidth="1"/>
    <col min="9" max="9" width="36" style="1" customWidth="1"/>
    <col min="10" max="10" width="8.7109375" style="1" customWidth="1"/>
    <col min="11" max="11" width="9" style="1" customWidth="1"/>
    <col min="12" max="16" width="8.7109375" style="1" customWidth="1"/>
    <col min="17" max="17" width="11" style="1" bestFit="1" customWidth="1"/>
    <col min="18" max="18" width="8.7109375" style="1" hidden="1" customWidth="1"/>
    <col min="19" max="19" width="12.85546875" style="1" hidden="1" customWidth="1"/>
    <col min="20" max="25" width="8.7109375" style="1" customWidth="1"/>
    <col min="26" max="16384" width="8.7109375" style="1" hidden="1"/>
  </cols>
  <sheetData>
    <row r="1" spans="3:24" x14ac:dyDescent="0.25">
      <c r="H1" s="1"/>
    </row>
    <row r="2" spans="3:24" x14ac:dyDescent="0.25">
      <c r="G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3:24" x14ac:dyDescent="0.25">
      <c r="F3" s="3"/>
      <c r="G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3:24" x14ac:dyDescent="0.25">
      <c r="F4" s="3"/>
      <c r="G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3:24" ht="22.5" x14ac:dyDescent="0.25">
      <c r="F5" s="3"/>
      <c r="G5" s="3"/>
      <c r="I5" s="3"/>
      <c r="J5" s="7" t="s">
        <v>0</v>
      </c>
      <c r="K5" s="7" t="s">
        <v>1</v>
      </c>
      <c r="L5" s="7" t="s">
        <v>2</v>
      </c>
      <c r="M5" s="7" t="s">
        <v>3</v>
      </c>
      <c r="N5" s="7" t="s">
        <v>3</v>
      </c>
      <c r="O5" s="7" t="s">
        <v>1</v>
      </c>
      <c r="P5" s="7" t="s">
        <v>1</v>
      </c>
      <c r="Q5" s="3"/>
      <c r="R5" s="3"/>
      <c r="S5" s="3"/>
      <c r="T5" s="3"/>
      <c r="U5" s="3"/>
      <c r="V5" s="3"/>
      <c r="W5" s="3"/>
      <c r="X5" s="3"/>
    </row>
    <row r="6" spans="3:24" ht="18" x14ac:dyDescent="0.25">
      <c r="F6" s="3"/>
      <c r="G6" s="3"/>
      <c r="I6" s="3"/>
      <c r="J6" s="13" t="str">
        <f>IF(WEEKDAY($S$9)=1,$S$9,"")</f>
        <v/>
      </c>
      <c r="K6" s="13" t="str">
        <f>IF(WEEKDAY($S$9)=2,$S$9,IF(WEEKDAY($S$9)&lt;2,J6+1,""))</f>
        <v/>
      </c>
      <c r="L6" s="13" t="str">
        <f>IF(WEEKDAY($S$9)=3,$S$9,IF(WEEKDAY($S$9)&lt;3,K6+1,""))</f>
        <v/>
      </c>
      <c r="M6" s="13" t="str">
        <f>IF(WEEKDAY($S$9)=4,$S$9,IF(WEEKDAY($S$9)&lt;4,L6+1,""))</f>
        <v/>
      </c>
      <c r="N6" s="13">
        <f>IF(WEEKDAY($S$9)=5,$S$9,IF(WEEKDAY($S$9)&lt;5,M6+1,""))</f>
        <v>45078</v>
      </c>
      <c r="O6" s="13">
        <f>IF(WEEKDAY($S$9)=6,$S$9,IF(WEEKDAY($S$9)&lt;6,N6+1,""))</f>
        <v>45079</v>
      </c>
      <c r="P6" s="13">
        <f>IF(WEEKDAY($S$9)=7,$S$9,IF(WEEKDAY($S$9)&lt;7,O6+1,""))</f>
        <v>45080</v>
      </c>
      <c r="Q6" s="3"/>
      <c r="R6" s="3"/>
      <c r="S6" s="3"/>
      <c r="T6" s="3"/>
      <c r="U6" s="3"/>
      <c r="V6" s="3"/>
      <c r="W6" s="3"/>
      <c r="X6" s="3"/>
    </row>
    <row r="7" spans="3:24" ht="18" x14ac:dyDescent="0.25">
      <c r="F7" s="3"/>
      <c r="G7" s="3"/>
      <c r="I7" s="3"/>
      <c r="J7" s="13">
        <f>IF(P6&lt;&gt;"",IF(P6&lt;$S$10,P6+1,""),"")</f>
        <v>45081</v>
      </c>
      <c r="K7" s="13">
        <f t="shared" ref="K7:P11" si="0">IF(J7&lt;&gt;"",IF(J7&lt;$S$10,J7+1,""),"")</f>
        <v>45082</v>
      </c>
      <c r="L7" s="13">
        <f t="shared" si="0"/>
        <v>45083</v>
      </c>
      <c r="M7" s="13">
        <f t="shared" si="0"/>
        <v>45084</v>
      </c>
      <c r="N7" s="13">
        <f t="shared" si="0"/>
        <v>45085</v>
      </c>
      <c r="O7" s="13">
        <f t="shared" si="0"/>
        <v>45086</v>
      </c>
      <c r="P7" s="13">
        <f t="shared" si="0"/>
        <v>45087</v>
      </c>
      <c r="Q7" s="3"/>
      <c r="R7" s="3"/>
      <c r="S7" s="3"/>
      <c r="T7" s="3"/>
      <c r="U7" s="3"/>
      <c r="V7" s="3"/>
      <c r="W7" s="3"/>
      <c r="X7" s="3"/>
    </row>
    <row r="8" spans="3:24" ht="18" x14ac:dyDescent="0.25">
      <c r="F8" s="3"/>
      <c r="G8" s="3"/>
      <c r="I8" s="3"/>
      <c r="J8" s="13">
        <f>IF(P7&lt;&gt;"",IF(P7&lt;$S$10,P7+1,""),"")</f>
        <v>45088</v>
      </c>
      <c r="K8" s="13">
        <f t="shared" si="0"/>
        <v>45089</v>
      </c>
      <c r="L8" s="13">
        <f t="shared" si="0"/>
        <v>45090</v>
      </c>
      <c r="M8" s="13">
        <f t="shared" si="0"/>
        <v>45091</v>
      </c>
      <c r="N8" s="13">
        <f t="shared" si="0"/>
        <v>45092</v>
      </c>
      <c r="O8" s="13">
        <f t="shared" si="0"/>
        <v>45093</v>
      </c>
      <c r="P8" s="13">
        <f t="shared" si="0"/>
        <v>45094</v>
      </c>
      <c r="Q8" s="3"/>
      <c r="R8" s="3"/>
      <c r="S8" s="3"/>
      <c r="T8" s="3"/>
      <c r="U8" s="3"/>
      <c r="V8" s="3"/>
      <c r="W8" s="3"/>
      <c r="X8" s="3"/>
    </row>
    <row r="9" spans="3:24" ht="18" x14ac:dyDescent="0.25">
      <c r="F9" s="3"/>
      <c r="G9" s="3"/>
      <c r="I9" s="3"/>
      <c r="J9" s="13">
        <f>IF(P8&lt;&gt;"",IF(P8&lt;$S$10,P8+1,""),"")</f>
        <v>45095</v>
      </c>
      <c r="K9" s="13">
        <f t="shared" si="0"/>
        <v>45096</v>
      </c>
      <c r="L9" s="13">
        <f t="shared" si="0"/>
        <v>45097</v>
      </c>
      <c r="M9" s="13">
        <f t="shared" si="0"/>
        <v>45098</v>
      </c>
      <c r="N9" s="13">
        <f>IF(M9&lt;&gt;"",IF(M9&lt;$S$10,M9+1,""),"")</f>
        <v>45099</v>
      </c>
      <c r="O9" s="13">
        <f t="shared" si="0"/>
        <v>45100</v>
      </c>
      <c r="P9" s="13">
        <f t="shared" si="0"/>
        <v>45101</v>
      </c>
      <c r="Q9" s="3"/>
      <c r="R9" s="3" t="s">
        <v>4</v>
      </c>
      <c r="S9" s="5">
        <f>DATE(L14,O14,1)</f>
        <v>45078</v>
      </c>
      <c r="T9" s="3"/>
      <c r="U9" s="3"/>
      <c r="V9" s="3"/>
      <c r="W9" s="3"/>
      <c r="X9" s="3"/>
    </row>
    <row r="10" spans="3:24" ht="18" x14ac:dyDescent="0.25">
      <c r="F10" s="3"/>
      <c r="G10" s="3"/>
      <c r="I10" s="3"/>
      <c r="J10" s="13">
        <f>IF(P9&lt;&gt;"",IF(P9&lt;$S$10,P9+1,""),"")</f>
        <v>45102</v>
      </c>
      <c r="K10" s="13">
        <f t="shared" si="0"/>
        <v>45103</v>
      </c>
      <c r="L10" s="13">
        <f t="shared" si="0"/>
        <v>45104</v>
      </c>
      <c r="M10" s="13">
        <f t="shared" si="0"/>
        <v>45105</v>
      </c>
      <c r="N10" s="13">
        <f t="shared" si="0"/>
        <v>45106</v>
      </c>
      <c r="O10" s="13">
        <f t="shared" si="0"/>
        <v>45107</v>
      </c>
      <c r="P10" s="13" t="str">
        <f t="shared" si="0"/>
        <v/>
      </c>
      <c r="Q10" s="3"/>
      <c r="R10" s="3" t="s">
        <v>5</v>
      </c>
      <c r="S10" s="5">
        <f>EOMONTH(S9,0)</f>
        <v>45107</v>
      </c>
      <c r="T10" s="3"/>
      <c r="U10" s="3"/>
      <c r="V10" s="3"/>
      <c r="W10" s="3"/>
      <c r="X10" s="3"/>
    </row>
    <row r="11" spans="3:24" ht="18" x14ac:dyDescent="0.25">
      <c r="F11" s="3"/>
      <c r="G11" s="3"/>
      <c r="I11" s="3"/>
      <c r="J11" s="4" t="str">
        <f>IF(P10&lt;&gt;"",IF(P10&lt;$S$10,P10+1,""),"")</f>
        <v/>
      </c>
      <c r="K11" s="4" t="str">
        <f t="shared" si="0"/>
        <v/>
      </c>
      <c r="L11" s="4" t="str">
        <f t="shared" si="0"/>
        <v/>
      </c>
      <c r="M11" s="4" t="str">
        <f t="shared" si="0"/>
        <v/>
      </c>
      <c r="N11" s="4" t="str">
        <f t="shared" si="0"/>
        <v/>
      </c>
      <c r="O11" s="4" t="str">
        <f t="shared" si="0"/>
        <v/>
      </c>
      <c r="P11" s="4" t="str">
        <f t="shared" si="0"/>
        <v/>
      </c>
      <c r="Q11" s="3"/>
      <c r="R11" s="3"/>
      <c r="S11" s="3">
        <f>WEEKDAY(S9)</f>
        <v>5</v>
      </c>
      <c r="T11" s="3"/>
      <c r="U11" s="3"/>
      <c r="V11" s="3"/>
      <c r="W11" s="3"/>
      <c r="X11" s="3"/>
    </row>
    <row r="12" spans="3:24" ht="26.25" x14ac:dyDescent="0.45">
      <c r="C12" s="2"/>
      <c r="F12" s="3"/>
      <c r="G12" s="3"/>
      <c r="I12" s="3"/>
      <c r="J12" s="3"/>
      <c r="K12" s="3"/>
      <c r="L12" s="3"/>
      <c r="M12" s="3"/>
      <c r="N12" s="3"/>
      <c r="O12" s="3"/>
      <c r="P12" s="3"/>
      <c r="Q12" s="14"/>
      <c r="R12" s="3"/>
      <c r="S12" s="3"/>
      <c r="T12" s="3"/>
      <c r="U12" s="3"/>
      <c r="V12" s="3"/>
      <c r="W12" s="3"/>
      <c r="X12" s="3"/>
    </row>
    <row r="13" spans="3:24" ht="18.75" x14ac:dyDescent="0.4">
      <c r="F13" s="3"/>
      <c r="G13" s="3"/>
      <c r="I13" s="3"/>
      <c r="J13" s="3"/>
      <c r="K13" s="3"/>
      <c r="L13" s="8" t="s">
        <v>6</v>
      </c>
      <c r="M13" s="3"/>
      <c r="N13" s="3"/>
      <c r="O13" s="8" t="s">
        <v>7</v>
      </c>
      <c r="P13" s="3"/>
      <c r="Q13" s="6"/>
      <c r="R13" s="3"/>
      <c r="S13" s="11" t="s">
        <v>11</v>
      </c>
      <c r="T13" s="3"/>
      <c r="U13" s="3"/>
      <c r="V13" s="3"/>
      <c r="W13" s="3"/>
      <c r="X13" s="3"/>
    </row>
    <row r="14" spans="3:24" ht="26.25" x14ac:dyDescent="0.45">
      <c r="C14" s="2"/>
      <c r="F14" s="3"/>
      <c r="G14" s="3"/>
      <c r="I14" s="3"/>
      <c r="J14" s="3"/>
      <c r="K14" s="3"/>
      <c r="L14" s="8">
        <v>2023</v>
      </c>
      <c r="M14" s="3"/>
      <c r="N14" s="3"/>
      <c r="O14" s="8">
        <v>6</v>
      </c>
      <c r="P14" s="3"/>
      <c r="Q14" s="3"/>
      <c r="R14" s="3"/>
      <c r="S14" s="12">
        <v>45096</v>
      </c>
      <c r="T14" s="14"/>
      <c r="U14" s="3"/>
      <c r="V14" s="3"/>
      <c r="W14" s="3"/>
      <c r="X14" s="3"/>
    </row>
    <row r="15" spans="3:24" x14ac:dyDescent="0.25">
      <c r="F15" s="3"/>
      <c r="G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</row>
    <row r="16" spans="3:24" ht="26.25" x14ac:dyDescent="0.45">
      <c r="C16" s="2"/>
      <c r="F16" s="3"/>
      <c r="G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</row>
    <row r="17" spans="6:24" x14ac:dyDescent="0.25">
      <c r="F17" s="3"/>
      <c r="G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</row>
    <row r="18" spans="6:24" ht="18.75" customHeight="1" x14ac:dyDescent="0.25">
      <c r="F18" s="3"/>
      <c r="G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</row>
    <row r="19" spans="6:24" x14ac:dyDescent="0.25">
      <c r="F19" s="3"/>
      <c r="G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</row>
    <row r="20" spans="6:24" x14ac:dyDescent="0.25">
      <c r="F20" s="3"/>
      <c r="G20" s="15" t="s">
        <v>11</v>
      </c>
      <c r="H20" s="15" t="s">
        <v>12</v>
      </c>
      <c r="I20" s="15" t="s">
        <v>13</v>
      </c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</row>
    <row r="21" spans="6:24" x14ac:dyDescent="0.25">
      <c r="F21" s="3"/>
      <c r="G21" s="16">
        <v>45096</v>
      </c>
      <c r="H21" s="17"/>
      <c r="I21" s="18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</row>
    <row r="22" spans="6:24" x14ac:dyDescent="0.25">
      <c r="F22" s="3"/>
      <c r="G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6:24" x14ac:dyDescent="0.25">
      <c r="F23" s="3"/>
      <c r="G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</row>
    <row r="24" spans="6:24" x14ac:dyDescent="0.25">
      <c r="F24" s="3"/>
      <c r="G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</row>
    <row r="25" spans="6:24" x14ac:dyDescent="0.25">
      <c r="F25" s="3"/>
      <c r="G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</row>
    <row r="26" spans="6:24" x14ac:dyDescent="0.25">
      <c r="F26" s="3"/>
      <c r="G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</row>
    <row r="27" spans="6:24" x14ac:dyDescent="0.25">
      <c r="F27" s="3"/>
      <c r="G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</row>
    <row r="28" spans="6:24" x14ac:dyDescent="0.25">
      <c r="F28" s="3"/>
      <c r="G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</row>
    <row r="29" spans="6:24" x14ac:dyDescent="0.25">
      <c r="F29" s="3"/>
      <c r="G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</row>
    <row r="30" spans="6:24" x14ac:dyDescent="0.25">
      <c r="F30" s="3"/>
      <c r="G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6:24" x14ac:dyDescent="0.25">
      <c r="F31" s="3"/>
      <c r="G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6:24" x14ac:dyDescent="0.25">
      <c r="F32" s="3"/>
      <c r="G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6:24" x14ac:dyDescent="0.25">
      <c r="F33" s="3"/>
      <c r="G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6:24" x14ac:dyDescent="0.25">
      <c r="F34" s="3"/>
      <c r="G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6:24" x14ac:dyDescent="0.25">
      <c r="G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</row>
    <row r="36" spans="6:24" x14ac:dyDescent="0.25">
      <c r="H36" s="1"/>
    </row>
    <row r="37" spans="6:24" hidden="1" x14ac:dyDescent="0.25"/>
    <row r="38" spans="6:24" hidden="1" x14ac:dyDescent="0.25"/>
    <row r="39" spans="6:24" hidden="1" x14ac:dyDescent="0.25"/>
    <row r="40" spans="6:24" hidden="1" x14ac:dyDescent="0.25"/>
    <row r="41" spans="6:24" hidden="1" x14ac:dyDescent="0.25"/>
    <row r="42" spans="6:24" hidden="1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pinner 1">
              <controlPr defaultSize="0" autoPict="0">
                <anchor moveWithCells="1" sizeWithCells="1">
                  <from>
                    <xdr:col>12</xdr:col>
                    <xdr:colOff>9525</xdr:colOff>
                    <xdr:row>12</xdr:row>
                    <xdr:rowOff>9525</xdr:rowOff>
                  </from>
                  <to>
                    <xdr:col>12</xdr:col>
                    <xdr:colOff>590550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Spinner 2">
              <controlPr defaultSize="0" autoPict="0">
                <anchor moveWithCells="1" sizeWithCells="1">
                  <from>
                    <xdr:col>15</xdr:col>
                    <xdr:colOff>9525</xdr:colOff>
                    <xdr:row>11</xdr:row>
                    <xdr:rowOff>371475</xdr:rowOff>
                  </from>
                  <to>
                    <xdr:col>15</xdr:col>
                    <xdr:colOff>619125</xdr:colOff>
                    <xdr:row>13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>
    <tabColor theme="1"/>
  </sheetPr>
  <dimension ref="A1:Z66"/>
  <sheetViews>
    <sheetView zoomScale="64" zoomScaleNormal="87" workbookViewId="0">
      <selection activeCell="C33" sqref="C33"/>
    </sheetView>
  </sheetViews>
  <sheetFormatPr defaultColWidth="0" defaultRowHeight="15" zeroHeight="1" x14ac:dyDescent="0.25"/>
  <cols>
    <col min="1" max="2" width="9.140625" style="1" customWidth="1"/>
    <col min="3" max="3" width="18.7109375" style="1" customWidth="1"/>
    <col min="4" max="26" width="9.140625" style="1" customWidth="1"/>
    <col min="27" max="28" width="9.140625" style="1" hidden="1" customWidth="1"/>
    <col min="29" max="16384" width="9.140625" style="1" hidden="1"/>
  </cols>
  <sheetData>
    <row r="1" spans="3:3" x14ac:dyDescent="0.25"/>
    <row r="2" spans="3:3" x14ac:dyDescent="0.25"/>
    <row r="3" spans="3:3" x14ac:dyDescent="0.25"/>
    <row r="4" spans="3:3" x14ac:dyDescent="0.25"/>
    <row r="5" spans="3:3" x14ac:dyDescent="0.25"/>
    <row r="6" spans="3:3" x14ac:dyDescent="0.25"/>
    <row r="7" spans="3:3" x14ac:dyDescent="0.25"/>
    <row r="8" spans="3:3" x14ac:dyDescent="0.25"/>
    <row r="9" spans="3:3" x14ac:dyDescent="0.25"/>
    <row r="10" spans="3:3" x14ac:dyDescent="0.25"/>
    <row r="11" spans="3:3" x14ac:dyDescent="0.25"/>
    <row r="12" spans="3:3" ht="26.25" x14ac:dyDescent="0.45">
      <c r="C12" s="2"/>
    </row>
    <row r="13" spans="3:3" x14ac:dyDescent="0.25"/>
    <row r="14" spans="3:3" ht="26.25" x14ac:dyDescent="0.45">
      <c r="C14" s="2"/>
    </row>
    <row r="15" spans="3:3" x14ac:dyDescent="0.25"/>
    <row r="16" spans="3:3" ht="26.25" x14ac:dyDescent="0.45">
      <c r="C16" s="2"/>
    </row>
    <row r="17" spans="4:4" x14ac:dyDescent="0.25"/>
    <row r="18" spans="4:4" ht="26.25" x14ac:dyDescent="0.45">
      <c r="D18" s="2"/>
    </row>
    <row r="19" spans="4:4" x14ac:dyDescent="0.25"/>
    <row r="20" spans="4:4" x14ac:dyDescent="0.25"/>
    <row r="21" spans="4:4" x14ac:dyDescent="0.25"/>
    <row r="22" spans="4:4" x14ac:dyDescent="0.25"/>
    <row r="23" spans="4:4" x14ac:dyDescent="0.25"/>
    <row r="24" spans="4:4" x14ac:dyDescent="0.25"/>
    <row r="25" spans="4:4" x14ac:dyDescent="0.25"/>
    <row r="26" spans="4:4" x14ac:dyDescent="0.25"/>
    <row r="27" spans="4:4" x14ac:dyDescent="0.25"/>
    <row r="28" spans="4:4" x14ac:dyDescent="0.25"/>
    <row r="29" spans="4:4" x14ac:dyDescent="0.25"/>
    <row r="30" spans="4:4" x14ac:dyDescent="0.25"/>
    <row r="31" spans="4:4" x14ac:dyDescent="0.25"/>
    <row r="32" spans="4:4" x14ac:dyDescent="0.25"/>
    <row r="33" x14ac:dyDescent="0.25"/>
    <row r="34" x14ac:dyDescent="0.25"/>
    <row r="35" x14ac:dyDescent="0.25"/>
    <row r="36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B2:D27"/>
  <sheetViews>
    <sheetView workbookViewId="0">
      <selection activeCell="F21" sqref="F21"/>
    </sheetView>
  </sheetViews>
  <sheetFormatPr defaultRowHeight="15" x14ac:dyDescent="0.25"/>
  <cols>
    <col min="2" max="2" width="10.7109375" bestFit="1" customWidth="1"/>
    <col min="3" max="3" width="10.140625" customWidth="1"/>
    <col min="4" max="4" width="43.7109375" customWidth="1"/>
  </cols>
  <sheetData>
    <row r="2" spans="2:4" x14ac:dyDescent="0.25">
      <c r="B2" t="s">
        <v>8</v>
      </c>
      <c r="C2" t="s">
        <v>9</v>
      </c>
      <c r="D2" t="s">
        <v>10</v>
      </c>
    </row>
    <row r="3" spans="2:4" x14ac:dyDescent="0.25">
      <c r="B3" s="9">
        <v>45101</v>
      </c>
      <c r="C3" s="10">
        <v>0.33333333333333331</v>
      </c>
      <c r="D3" t="s">
        <v>14</v>
      </c>
    </row>
    <row r="4" spans="2:4" x14ac:dyDescent="0.25">
      <c r="B4" s="9">
        <v>45142</v>
      </c>
      <c r="C4" s="10">
        <v>0.8125</v>
      </c>
      <c r="D4" t="s">
        <v>15</v>
      </c>
    </row>
    <row r="5" spans="2:4" x14ac:dyDescent="0.25">
      <c r="B5" s="9">
        <v>45149</v>
      </c>
      <c r="C5" s="10">
        <v>0.8125</v>
      </c>
      <c r="D5" t="s">
        <v>15</v>
      </c>
    </row>
    <row r="6" spans="2:4" x14ac:dyDescent="0.25">
      <c r="B6" s="9">
        <v>45156</v>
      </c>
      <c r="C6" s="10">
        <v>0.8125</v>
      </c>
      <c r="D6" t="s">
        <v>15</v>
      </c>
    </row>
    <row r="7" spans="2:4" x14ac:dyDescent="0.25">
      <c r="B7" s="9">
        <v>45175</v>
      </c>
      <c r="C7" s="10">
        <v>0.33333333333333331</v>
      </c>
      <c r="D7" t="s">
        <v>16</v>
      </c>
    </row>
    <row r="8" spans="2:4" x14ac:dyDescent="0.25">
      <c r="B8" s="9">
        <v>45177</v>
      </c>
      <c r="C8" s="10">
        <v>0.8125</v>
      </c>
      <c r="D8" t="s">
        <v>18</v>
      </c>
    </row>
    <row r="9" spans="2:4" x14ac:dyDescent="0.25">
      <c r="B9" s="9">
        <v>45166</v>
      </c>
      <c r="C9" s="10">
        <v>0.8125</v>
      </c>
      <c r="D9" t="s">
        <v>17</v>
      </c>
    </row>
    <row r="10" spans="2:4" x14ac:dyDescent="0.25">
      <c r="B10" s="9">
        <v>45190</v>
      </c>
      <c r="C10" s="10">
        <v>0.8125</v>
      </c>
      <c r="D10" t="s">
        <v>19</v>
      </c>
    </row>
    <row r="11" spans="2:4" x14ac:dyDescent="0.25">
      <c r="B11" s="9">
        <v>45208</v>
      </c>
      <c r="C11" s="10">
        <v>0.33333333333333331</v>
      </c>
      <c r="D11" t="s">
        <v>20</v>
      </c>
    </row>
    <row r="12" spans="2:4" x14ac:dyDescent="0.25">
      <c r="B12" s="9">
        <v>45214</v>
      </c>
      <c r="C12" s="10">
        <v>0.8125</v>
      </c>
      <c r="D12" t="s">
        <v>21</v>
      </c>
    </row>
    <row r="13" spans="2:4" x14ac:dyDescent="0.25">
      <c r="B13" s="9">
        <v>45222</v>
      </c>
      <c r="C13" s="10">
        <v>0.8125</v>
      </c>
      <c r="D13" t="s">
        <v>22</v>
      </c>
    </row>
    <row r="14" spans="2:4" x14ac:dyDescent="0.25">
      <c r="B14" s="9">
        <v>45218</v>
      </c>
      <c r="C14" s="10">
        <v>0.8125</v>
      </c>
      <c r="D14" t="s">
        <v>23</v>
      </c>
    </row>
    <row r="15" spans="2:4" x14ac:dyDescent="0.25">
      <c r="B15" s="9">
        <v>45261</v>
      </c>
      <c r="C15" s="10">
        <v>0.33333333333333331</v>
      </c>
      <c r="D15" t="s">
        <v>24</v>
      </c>
    </row>
    <row r="16" spans="2:4" x14ac:dyDescent="0.25">
      <c r="B16" s="9">
        <v>45262</v>
      </c>
      <c r="C16" s="10">
        <v>0.8125</v>
      </c>
      <c r="D16" t="s">
        <v>24</v>
      </c>
    </row>
    <row r="17" spans="2:4" x14ac:dyDescent="0.25">
      <c r="B17" s="9">
        <v>45263</v>
      </c>
      <c r="C17" s="10">
        <v>0.8125</v>
      </c>
      <c r="D17" t="s">
        <v>24</v>
      </c>
    </row>
    <row r="18" spans="2:4" x14ac:dyDescent="0.25">
      <c r="B18" s="9">
        <v>45281</v>
      </c>
      <c r="C18" s="10">
        <v>0.8125</v>
      </c>
      <c r="D18" t="s">
        <v>25</v>
      </c>
    </row>
    <row r="19" spans="2:4" x14ac:dyDescent="0.25">
      <c r="B19" s="9">
        <v>45121</v>
      </c>
      <c r="C19" s="10">
        <v>0.33333333333333331</v>
      </c>
      <c r="D19" t="s">
        <v>26</v>
      </c>
    </row>
    <row r="20" spans="2:4" x14ac:dyDescent="0.25">
      <c r="B20" s="9">
        <v>45117</v>
      </c>
      <c r="C20" s="10">
        <v>0.8125</v>
      </c>
      <c r="D20" t="s">
        <v>27</v>
      </c>
    </row>
    <row r="21" spans="2:4" x14ac:dyDescent="0.25">
      <c r="B21" s="9">
        <v>45360</v>
      </c>
      <c r="C21" s="10">
        <v>0.8125</v>
      </c>
      <c r="D21" t="s">
        <v>28</v>
      </c>
    </row>
    <row r="22" spans="2:4" x14ac:dyDescent="0.25">
      <c r="B22" s="9">
        <v>45383</v>
      </c>
      <c r="C22" s="10">
        <v>0.8125</v>
      </c>
      <c r="D22" t="s">
        <v>29</v>
      </c>
    </row>
    <row r="23" spans="2:4" x14ac:dyDescent="0.25">
      <c r="B23" s="9">
        <v>45483</v>
      </c>
      <c r="C23" s="10">
        <v>0.8125</v>
      </c>
      <c r="D23" t="s">
        <v>30</v>
      </c>
    </row>
    <row r="24" spans="2:4" x14ac:dyDescent="0.25">
      <c r="B24" s="9">
        <v>45121</v>
      </c>
      <c r="C24" s="10">
        <v>0.33333333333333331</v>
      </c>
      <c r="D24" t="s">
        <v>31</v>
      </c>
    </row>
    <row r="25" spans="2:4" x14ac:dyDescent="0.25">
      <c r="B25" s="9">
        <v>45500</v>
      </c>
      <c r="C25" s="10">
        <v>0.79166666666666663</v>
      </c>
      <c r="D25" t="s">
        <v>32</v>
      </c>
    </row>
    <row r="26" spans="2:4" x14ac:dyDescent="0.25">
      <c r="B26" s="9"/>
      <c r="C26" s="10"/>
    </row>
    <row r="27" spans="2:4" x14ac:dyDescent="0.25">
      <c r="B27" s="9"/>
      <c r="C27" s="10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8E91-46BE-4603-958D-4DF0229D8DCE}">
  <sheetPr codeName="Planilha7"/>
  <dimension ref="B1:F14"/>
  <sheetViews>
    <sheetView zoomScale="101" workbookViewId="0">
      <selection activeCell="E20" sqref="E20"/>
    </sheetView>
  </sheetViews>
  <sheetFormatPr defaultRowHeight="15" x14ac:dyDescent="0.25"/>
  <cols>
    <col min="1" max="1" width="10.7109375" bestFit="1" customWidth="1"/>
    <col min="2" max="2" width="17.7109375" bestFit="1" customWidth="1"/>
    <col min="3" max="3" width="19" bestFit="1" customWidth="1"/>
    <col min="4" max="4" width="22.28515625" customWidth="1"/>
    <col min="5" max="5" width="12" customWidth="1"/>
    <col min="6" max="6" width="28.5703125" customWidth="1"/>
    <col min="7" max="7" width="26.28515625" customWidth="1"/>
  </cols>
  <sheetData>
    <row r="1" spans="2:6" x14ac:dyDescent="0.25">
      <c r="B1" s="21" t="s">
        <v>42</v>
      </c>
      <c r="C1" s="21"/>
      <c r="D1" s="21"/>
      <c r="E1" s="21"/>
      <c r="F1" s="21"/>
    </row>
    <row r="2" spans="2:6" x14ac:dyDescent="0.25">
      <c r="B2" t="s">
        <v>7</v>
      </c>
      <c r="C2" t="s">
        <v>34</v>
      </c>
      <c r="D2" t="s">
        <v>35</v>
      </c>
      <c r="E2" t="s">
        <v>36</v>
      </c>
      <c r="F2" t="s">
        <v>37</v>
      </c>
    </row>
    <row r="3" spans="2:6" x14ac:dyDescent="0.25">
      <c r="B3" t="s">
        <v>33</v>
      </c>
      <c r="C3">
        <v>47</v>
      </c>
      <c r="D3">
        <v>3069</v>
      </c>
      <c r="E3">
        <v>143</v>
      </c>
      <c r="F3">
        <v>1014</v>
      </c>
    </row>
    <row r="4" spans="2:6" x14ac:dyDescent="0.25">
      <c r="B4" t="s">
        <v>38</v>
      </c>
      <c r="C4">
        <v>51</v>
      </c>
      <c r="D4">
        <v>3041</v>
      </c>
      <c r="E4">
        <v>129</v>
      </c>
      <c r="F4">
        <v>1021</v>
      </c>
    </row>
    <row r="5" spans="2:6" x14ac:dyDescent="0.25">
      <c r="B5" t="s">
        <v>39</v>
      </c>
      <c r="C5">
        <v>36</v>
      </c>
      <c r="D5">
        <v>3080</v>
      </c>
      <c r="E5">
        <v>120</v>
      </c>
      <c r="F5">
        <v>1054</v>
      </c>
    </row>
    <row r="6" spans="2:6" x14ac:dyDescent="0.25">
      <c r="B6" t="s">
        <v>40</v>
      </c>
      <c r="C6">
        <v>49</v>
      </c>
      <c r="D6" s="20">
        <v>3061</v>
      </c>
      <c r="E6">
        <v>112</v>
      </c>
      <c r="F6">
        <v>1026</v>
      </c>
    </row>
    <row r="7" spans="2:6" x14ac:dyDescent="0.25">
      <c r="B7" t="s">
        <v>41</v>
      </c>
      <c r="C7">
        <v>52</v>
      </c>
      <c r="D7">
        <v>3192</v>
      </c>
      <c r="E7">
        <v>145</v>
      </c>
      <c r="F7">
        <v>1008</v>
      </c>
    </row>
    <row r="9" spans="2:6" x14ac:dyDescent="0.25">
      <c r="B9" s="21" t="s">
        <v>43</v>
      </c>
      <c r="C9" s="21"/>
      <c r="D9" s="21"/>
      <c r="E9" s="21"/>
      <c r="F9" s="21"/>
    </row>
    <row r="10" spans="2:6" x14ac:dyDescent="0.25">
      <c r="B10" t="s">
        <v>44</v>
      </c>
      <c r="C10" t="s">
        <v>54</v>
      </c>
      <c r="D10" t="s">
        <v>56</v>
      </c>
      <c r="E10" t="s">
        <v>57</v>
      </c>
      <c r="F10" t="s">
        <v>55</v>
      </c>
    </row>
    <row r="11" spans="2:6" x14ac:dyDescent="0.25">
      <c r="B11" t="s">
        <v>51</v>
      </c>
      <c r="C11">
        <v>120</v>
      </c>
      <c r="D11">
        <v>100</v>
      </c>
      <c r="E11">
        <v>20</v>
      </c>
      <c r="F11" t="s">
        <v>59</v>
      </c>
    </row>
    <row r="12" spans="2:6" hidden="1" x14ac:dyDescent="0.25"/>
    <row r="13" spans="2:6" x14ac:dyDescent="0.25">
      <c r="B13" t="s">
        <v>52</v>
      </c>
      <c r="C13">
        <v>30</v>
      </c>
      <c r="D13">
        <v>15</v>
      </c>
      <c r="E13">
        <v>15</v>
      </c>
      <c r="F13" s="19" t="s">
        <v>58</v>
      </c>
    </row>
    <row r="14" spans="2:6" x14ac:dyDescent="0.25">
      <c r="B14" t="s">
        <v>53</v>
      </c>
      <c r="C14">
        <v>25</v>
      </c>
      <c r="D14">
        <v>10</v>
      </c>
      <c r="E14">
        <v>15</v>
      </c>
      <c r="F14" t="s">
        <v>60</v>
      </c>
    </row>
  </sheetData>
  <mergeCells count="2">
    <mergeCell ref="B1:F1"/>
    <mergeCell ref="B9:F9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BDD6A-3067-4340-9373-A18B8BEC0AA4}">
  <dimension ref="A3:K9"/>
  <sheetViews>
    <sheetView zoomScale="54" workbookViewId="0">
      <selection activeCell="P28" sqref="P28"/>
    </sheetView>
  </sheetViews>
  <sheetFormatPr defaultRowHeight="15" x14ac:dyDescent="0.25"/>
  <cols>
    <col min="1" max="1" width="26.5703125" bestFit="1" customWidth="1"/>
    <col min="2" max="2" width="30.28515625" bestFit="1" customWidth="1"/>
    <col min="4" max="4" width="26.5703125" bestFit="1" customWidth="1"/>
    <col min="5" max="5" width="42.7109375" bestFit="1" customWidth="1"/>
    <col min="7" max="7" width="26.5703125" bestFit="1" customWidth="1"/>
    <col min="8" max="8" width="26.85546875" bestFit="1" customWidth="1"/>
    <col min="10" max="10" width="26.5703125" bestFit="1" customWidth="1"/>
    <col min="11" max="11" width="52" bestFit="1" customWidth="1"/>
  </cols>
  <sheetData>
    <row r="3" spans="1:11" x14ac:dyDescent="0.25">
      <c r="A3" s="22" t="s">
        <v>45</v>
      </c>
      <c r="B3" t="s">
        <v>47</v>
      </c>
      <c r="D3" s="22" t="s">
        <v>45</v>
      </c>
      <c r="E3" t="s">
        <v>48</v>
      </c>
      <c r="G3" s="22" t="s">
        <v>45</v>
      </c>
      <c r="H3" t="s">
        <v>49</v>
      </c>
      <c r="J3" s="22" t="s">
        <v>45</v>
      </c>
      <c r="K3" t="s">
        <v>50</v>
      </c>
    </row>
    <row r="4" spans="1:11" x14ac:dyDescent="0.25">
      <c r="A4" s="23" t="s">
        <v>33</v>
      </c>
      <c r="B4" s="24">
        <v>47</v>
      </c>
      <c r="D4" s="23" t="s">
        <v>33</v>
      </c>
      <c r="E4" s="24">
        <v>3069</v>
      </c>
      <c r="G4" s="23" t="s">
        <v>33</v>
      </c>
      <c r="H4" s="24">
        <v>143</v>
      </c>
      <c r="J4" s="23" t="s">
        <v>33</v>
      </c>
      <c r="K4" s="24">
        <v>1014</v>
      </c>
    </row>
    <row r="5" spans="1:11" x14ac:dyDescent="0.25">
      <c r="A5" s="23" t="s">
        <v>38</v>
      </c>
      <c r="B5" s="24">
        <v>51</v>
      </c>
      <c r="D5" s="23" t="s">
        <v>38</v>
      </c>
      <c r="E5" s="24">
        <v>3041</v>
      </c>
      <c r="G5" s="23" t="s">
        <v>38</v>
      </c>
      <c r="H5" s="24">
        <v>129</v>
      </c>
      <c r="J5" s="23" t="s">
        <v>38</v>
      </c>
      <c r="K5" s="24">
        <v>1021</v>
      </c>
    </row>
    <row r="6" spans="1:11" x14ac:dyDescent="0.25">
      <c r="A6" s="23" t="s">
        <v>39</v>
      </c>
      <c r="B6" s="24">
        <v>36</v>
      </c>
      <c r="D6" s="23" t="s">
        <v>39</v>
      </c>
      <c r="E6" s="24">
        <v>3080</v>
      </c>
      <c r="G6" s="23" t="s">
        <v>39</v>
      </c>
      <c r="H6" s="24">
        <v>120</v>
      </c>
      <c r="J6" s="23" t="s">
        <v>39</v>
      </c>
      <c r="K6" s="24">
        <v>1054</v>
      </c>
    </row>
    <row r="7" spans="1:11" x14ac:dyDescent="0.25">
      <c r="A7" s="23" t="s">
        <v>40</v>
      </c>
      <c r="B7" s="24">
        <v>49</v>
      </c>
      <c r="D7" s="23" t="s">
        <v>40</v>
      </c>
      <c r="E7" s="24">
        <v>3061</v>
      </c>
      <c r="G7" s="23" t="s">
        <v>40</v>
      </c>
      <c r="H7" s="24">
        <v>112</v>
      </c>
      <c r="J7" s="23" t="s">
        <v>40</v>
      </c>
      <c r="K7" s="24">
        <v>1026</v>
      </c>
    </row>
    <row r="8" spans="1:11" x14ac:dyDescent="0.25">
      <c r="A8" s="23" t="s">
        <v>41</v>
      </c>
      <c r="B8" s="24">
        <v>52</v>
      </c>
      <c r="D8" s="23" t="s">
        <v>41</v>
      </c>
      <c r="E8" s="24">
        <v>3192</v>
      </c>
      <c r="G8" s="23" t="s">
        <v>41</v>
      </c>
      <c r="H8" s="24">
        <v>145</v>
      </c>
      <c r="J8" s="23" t="s">
        <v>41</v>
      </c>
      <c r="K8" s="24">
        <v>1008</v>
      </c>
    </row>
    <row r="9" spans="1:11" x14ac:dyDescent="0.25">
      <c r="A9" s="23" t="s">
        <v>46</v>
      </c>
      <c r="B9" s="24">
        <v>235</v>
      </c>
      <c r="D9" s="23" t="s">
        <v>46</v>
      </c>
      <c r="E9" s="24">
        <v>15443</v>
      </c>
      <c r="G9" s="23" t="s">
        <v>46</v>
      </c>
      <c r="H9" s="24">
        <v>649</v>
      </c>
      <c r="J9" s="23" t="s">
        <v>46</v>
      </c>
      <c r="K9" s="24">
        <v>5123</v>
      </c>
    </row>
  </sheetData>
  <pageMargins left="0.511811024" right="0.511811024" top="0.78740157499999996" bottom="0.78740157499999996" header="0.31496062000000002" footer="0.31496062000000002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533023-2F31-4D9E-8B51-1811619942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capa</vt:lpstr>
      <vt:lpstr>sumario</vt:lpstr>
      <vt:lpstr>projeto</vt:lpstr>
      <vt:lpstr>calendario</vt:lpstr>
      <vt:lpstr>social</vt:lpstr>
      <vt:lpstr>TABELA-CALENDÁRIO</vt:lpstr>
      <vt:lpstr>PLANILHA GERAL</vt:lpstr>
      <vt:lpstr>TABELA-SOCIAL</vt:lpstr>
      <vt:lpstr>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Turma Noite</dc:creator>
  <cp:lastModifiedBy>Familia</cp:lastModifiedBy>
  <dcterms:created xsi:type="dcterms:W3CDTF">2024-06-07T17:49:45Z</dcterms:created>
  <dcterms:modified xsi:type="dcterms:W3CDTF">2024-06-23T22:04:49Z</dcterms:modified>
</cp:coreProperties>
</file>